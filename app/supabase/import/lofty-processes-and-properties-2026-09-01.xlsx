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fecycle Stages" sheetId="1" r:id="rId4"/>
    <sheet state="visible" name="Properties" sheetId="2" r:id="rId5"/>
    <sheet state="visible" name="Processes" sheetId="3" r:id="rId6"/>
  </sheets>
  <definedNames>
    <definedName hidden="1" localSheetId="2" name="_xlnm._FilterDatabase">Processes!$A$1:$I$984</definedName>
  </definedNames>
  <calcPr/>
  <extLst>
    <ext uri="GoogleSheetsCustomDataVersion2">
      <go:sheetsCustomData xmlns:go="http://customooxmlschemas.google.com/" r:id="rId7" roundtripDataChecksum="iCzgD5nKv4bbAeqjw+myjm5SBchf9M5SNjcvTWuQRg8="/>
    </ext>
  </extLst>
</workbook>
</file>

<file path=xl/sharedStrings.xml><?xml version="1.0" encoding="utf-8"?>
<sst xmlns="http://schemas.openxmlformats.org/spreadsheetml/2006/main" count="2165" uniqueCount="426">
  <si>
    <t>Stage ID</t>
  </si>
  <si>
    <t>#</t>
  </si>
  <si>
    <t>Stage Name</t>
  </si>
  <si>
    <t>Order</t>
  </si>
  <si>
    <t>Notes</t>
  </si>
  <si>
    <t>Lifecycle Stage</t>
  </si>
  <si>
    <t>LCStage_AD</t>
  </si>
  <si>
    <t>Stage</t>
  </si>
  <si>
    <t>Aquistion &amp; Development</t>
  </si>
  <si>
    <t>Process block</t>
  </si>
  <si>
    <t>LCstage_PreCon</t>
  </si>
  <si>
    <t>Pre-Constructions</t>
  </si>
  <si>
    <t>LCStage_Con</t>
  </si>
  <si>
    <t>Construction</t>
  </si>
  <si>
    <t>Property</t>
  </si>
  <si>
    <t>LCStage_Maint</t>
  </si>
  <si>
    <t>Type</t>
  </si>
  <si>
    <t>job or project</t>
  </si>
  <si>
    <t>Maintenance</t>
  </si>
  <si>
    <t>Department (process map)</t>
  </si>
  <si>
    <t>LCstage_Complete</t>
  </si>
  <si>
    <t>Completed</t>
  </si>
  <si>
    <t>SLA sheet (days)</t>
  </si>
  <si>
    <t>LCStage_Closed</t>
  </si>
  <si>
    <t>Predecessors</t>
  </si>
  <si>
    <t>Closed</t>
  </si>
  <si>
    <t>Successors</t>
  </si>
  <si>
    <t>LCStage_Cancelled</t>
  </si>
  <si>
    <t>Cancelled</t>
  </si>
  <si>
    <t>Aquisition and Development</t>
  </si>
  <si>
    <t>New Project</t>
  </si>
  <si>
    <t>Agreement type</t>
  </si>
  <si>
    <t>Enum</t>
  </si>
  <si>
    <t>Job</t>
  </si>
  <si>
    <t>Acquisition &amp; Development, Design</t>
  </si>
  <si>
    <t>Sales Consultant</t>
  </si>
  <si>
    <t>User</t>
  </si>
  <si>
    <t>Project</t>
  </si>
  <si>
    <t>New Job</t>
  </si>
  <si>
    <t>Site Supervisor</t>
  </si>
  <si>
    <t>Estimator</t>
  </si>
  <si>
    <t>Link</t>
  </si>
  <si>
    <t xml:space="preserve">URL </t>
  </si>
  <si>
    <t>Number of Single Stories Dwellings</t>
  </si>
  <si>
    <t>number</t>
  </si>
  <si>
    <t>Number of Double Stories Dwellings</t>
  </si>
  <si>
    <t>Number of Total Dwellings</t>
  </si>
  <si>
    <t>PWA &amp; Invoice</t>
  </si>
  <si>
    <t>Contract Issued</t>
  </si>
  <si>
    <t xml:space="preserve">Date </t>
  </si>
  <si>
    <t>3 Concept Plans; 5 Soil (Bore Logs); 4 Site Survey; 2 PWA Deposit</t>
  </si>
  <si>
    <t xml:space="preserve">Contract Signed </t>
  </si>
  <si>
    <t>Date</t>
  </si>
  <si>
    <t>Stage 1</t>
  </si>
  <si>
    <t>Deposit 1 Paid</t>
  </si>
  <si>
    <t>$ Amount Paid</t>
  </si>
  <si>
    <t>text</t>
  </si>
  <si>
    <t>Process</t>
  </si>
  <si>
    <t>(1 Day)</t>
  </si>
  <si>
    <t>Sales Documents (Incl. Site Inspection) Complete</t>
  </si>
  <si>
    <t>yes/no</t>
  </si>
  <si>
    <t>SLA schedule (days)</t>
  </si>
  <si>
    <t>Added to Trello</t>
  </si>
  <si>
    <t>Trello</t>
  </si>
  <si>
    <t>Concept Plan</t>
  </si>
  <si>
    <t>Ordered</t>
  </si>
  <si>
    <t>date</t>
  </si>
  <si>
    <t>1 PWA Issued; 2 PWA Deposit</t>
  </si>
  <si>
    <t>14 Prelim FCR Ordered; 12 Civil Plan Ordered; 6 Planning Drawings Ordered; 7 Planning Drawings Completed</t>
  </si>
  <si>
    <t>Received</t>
  </si>
  <si>
    <t>Amendment Ordered</t>
  </si>
  <si>
    <t>Acquisition &amp; Development</t>
  </si>
  <si>
    <t>Amendment Received</t>
  </si>
  <si>
    <t>Signed Off (7 Days)</t>
  </si>
  <si>
    <t>Site Survey</t>
  </si>
  <si>
    <t>2 PWA Deposit; 1 PWA Issued</t>
  </si>
  <si>
    <t>7 Planning Drawings Completed</t>
  </si>
  <si>
    <t xml:space="preserve">Received </t>
  </si>
  <si>
    <t>Soil - Bore Logs</t>
  </si>
  <si>
    <t>Received (14 Days)</t>
  </si>
  <si>
    <t>Planning Drawings</t>
  </si>
  <si>
    <t>3 Concept Plans</t>
  </si>
  <si>
    <t>4 Site Survey; 3 Concept Plans</t>
  </si>
  <si>
    <t>15 Planning Approval; 8 Quote Steel Framing; 9 Prelim EER</t>
  </si>
  <si>
    <t>Signed off (14 Days)</t>
  </si>
  <si>
    <t>Prelim EER</t>
  </si>
  <si>
    <t>Received (2 Days)</t>
  </si>
  <si>
    <t>9 Prelim EER</t>
  </si>
  <si>
    <t>Confirm EER option with Scheduling</t>
  </si>
  <si>
    <t>17 Contract Check; 11 Prelim EER Pricing; 10 Prelim EER Review</t>
  </si>
  <si>
    <t>Log on Sales Estimating Trello</t>
  </si>
  <si>
    <t>Confirm EER Option with Scheduling</t>
  </si>
  <si>
    <t>Received back from Estimating</t>
  </si>
  <si>
    <t>Aquistions &amp; Development</t>
  </si>
  <si>
    <t>Acquisition &amp; Development, Estimating</t>
  </si>
  <si>
    <t>Project Creation</t>
  </si>
  <si>
    <t>Civil Plan</t>
  </si>
  <si>
    <t>Job Creation</t>
  </si>
  <si>
    <t>13 Civil Plan Checked &amp; Received</t>
  </si>
  <si>
    <t>PWA</t>
  </si>
  <si>
    <t>Received (10 Days)</t>
  </si>
  <si>
    <t>Pre-Construction</t>
  </si>
  <si>
    <t>12 Civil Plan Ordered</t>
  </si>
  <si>
    <t>Invoice</t>
  </si>
  <si>
    <t>15 Planning Approval; 42 Fencing/Retaining Checks</t>
  </si>
  <si>
    <t>Gavin Check Ordered</t>
  </si>
  <si>
    <t>Gavin Check Returned (2 Days)</t>
  </si>
  <si>
    <t>Amended Ordered</t>
  </si>
  <si>
    <t>Preliminary EER</t>
  </si>
  <si>
    <t>Amended Received (10 Days)</t>
  </si>
  <si>
    <t>Prelim Footings</t>
  </si>
  <si>
    <t>Preliminary Footings</t>
  </si>
  <si>
    <t>Planning Approval</t>
  </si>
  <si>
    <t>Final Quote Check</t>
  </si>
  <si>
    <t>Lodged for Planning Approval</t>
  </si>
  <si>
    <t>Lodged</t>
  </si>
  <si>
    <t>Contract Signing</t>
  </si>
  <si>
    <t>7 Planning Drawings Completed; 13 Civil Plan Checked &amp; Received</t>
  </si>
  <si>
    <t>20 Working Drawings Ordered; 16 Final Quote Check; 34 Selections Commence Schemes; 42 Fencing/Retaining Checks</t>
  </si>
  <si>
    <t>2nd Deposit (contract depost)</t>
  </si>
  <si>
    <t>DNF Conditions Check</t>
  </si>
  <si>
    <t>Approved (28 Days)</t>
  </si>
  <si>
    <t>RFI Received</t>
  </si>
  <si>
    <t>RFI Responded (14 Days)</t>
  </si>
  <si>
    <t>Issued to Estimator</t>
  </si>
  <si>
    <t>15 Planning Approval</t>
  </si>
  <si>
    <t>17 Contract Check</t>
  </si>
  <si>
    <t>Sent to S/C</t>
  </si>
  <si>
    <t>Contract Sent to Ryan</t>
  </si>
  <si>
    <t>Contract Approved by Ryan</t>
  </si>
  <si>
    <t>Contracts/Send Finalised Quote</t>
  </si>
  <si>
    <t>Issued</t>
  </si>
  <si>
    <t>Received (7 Days)</t>
  </si>
  <si>
    <t>Sale Contact Client to Confirm No more Changes</t>
  </si>
  <si>
    <t>unknown (no data)</t>
  </si>
  <si>
    <t>2nd Deposit - contract deposit</t>
  </si>
  <si>
    <t>Finance</t>
  </si>
  <si>
    <t>Contract value</t>
  </si>
  <si>
    <t>Contract Value $</t>
  </si>
  <si>
    <t>currency</t>
  </si>
  <si>
    <t>Stage gate</t>
  </si>
  <si>
    <t>Stage 1 Complete</t>
  </si>
  <si>
    <t>Stage 2</t>
  </si>
  <si>
    <t>Working Drawings</t>
  </si>
  <si>
    <t>15 Planning Approval; 19 Contract Deposit Paid</t>
  </si>
  <si>
    <t>21 Working Drawings Completed &amp; Checked</t>
  </si>
  <si>
    <t>31 Framing Drawings and Layouts; 24 Final EER Ordered; 27 Final FCR Ordered; 32 Framing Supporting Docs (windows , windspeed); 40 1st Site Inspection; 26 Lightweight Verandah Engineering; 50 BRC/KBS Lodged; 47 Production Estimate (CPC)</t>
  </si>
  <si>
    <t>Plan Check complete</t>
  </si>
  <si>
    <t>Logged for Amends</t>
  </si>
  <si>
    <t>Amends received</t>
  </si>
  <si>
    <t>Amended Plans Checked</t>
  </si>
  <si>
    <t>Finalised and signed (10 Days)</t>
  </si>
  <si>
    <t>Pegging Plan/Encroachment Plan</t>
  </si>
  <si>
    <t>Finalised EER</t>
  </si>
  <si>
    <t>19 Contract Deposit Paid; 22 Working Drawings Signed</t>
  </si>
  <si>
    <t>25 Final EER Checked; 50 BRC/KBS Lodged</t>
  </si>
  <si>
    <t>Scheduling</t>
  </si>
  <si>
    <t>Sent to Scheduling</t>
  </si>
  <si>
    <t>Received back from Scheduling (1 Day)</t>
  </si>
  <si>
    <t>Stage 2 Complete</t>
  </si>
  <si>
    <t>Stage 3</t>
  </si>
  <si>
    <t>Added to Pre-construction Trello + Move to Stage 3 on LMWF</t>
  </si>
  <si>
    <t>Attached lightweight Verandah Engineering</t>
  </si>
  <si>
    <t>FCR</t>
  </si>
  <si>
    <t>28 FCR Check</t>
  </si>
  <si>
    <t>Sent to Gavin</t>
  </si>
  <si>
    <t>Received back from Gavin (7 Days)</t>
  </si>
  <si>
    <t>Electrical/NBN Undergrounds</t>
  </si>
  <si>
    <t>Plan Ordered</t>
  </si>
  <si>
    <t>Plan Received (10 Days)</t>
  </si>
  <si>
    <t>Permit Application Lodged to Council</t>
  </si>
  <si>
    <t>Permit received</t>
  </si>
  <si>
    <t>NBN layout sent to CMA's</t>
  </si>
  <si>
    <t>Section 221 - Stormwater/Crossover Permits</t>
  </si>
  <si>
    <t>Framing and Trusses</t>
  </si>
  <si>
    <t>Timber Frame / Steel Frame</t>
  </si>
  <si>
    <t>Ordererd</t>
  </si>
  <si>
    <t>Received (21 Days)</t>
  </si>
  <si>
    <t>Beam Design</t>
  </si>
  <si>
    <t>32 Framing Supporting Docs (windows , windspeed)</t>
  </si>
  <si>
    <t>50 BRC/KBS Lodged</t>
  </si>
  <si>
    <t>Receieved (21 Days)</t>
  </si>
  <si>
    <t>Construction/Timber/Beam Jordan Check</t>
  </si>
  <si>
    <t>Sent to Management</t>
  </si>
  <si>
    <t>Footings Construciton Report (FCR)</t>
  </si>
  <si>
    <t>Approved (7 Days)</t>
  </si>
  <si>
    <t>Selections</t>
  </si>
  <si>
    <t>Selections Consultant</t>
  </si>
  <si>
    <t>Selection Type Scheme / Client</t>
  </si>
  <si>
    <t>Email Request to selections to contact client</t>
  </si>
  <si>
    <t>Gallery Appointment Date (21 Days)</t>
  </si>
  <si>
    <t>Selection Variation signed</t>
  </si>
  <si>
    <t>Selections booklet signed (10 Days)</t>
  </si>
  <si>
    <t>37 Estimating Check of Contract/Selections; 38 Selections Drafting Amendments</t>
  </si>
  <si>
    <t>47 Production Estimate (CPC)</t>
  </si>
  <si>
    <t>1st Site Inspection</t>
  </si>
  <si>
    <t>23 Pegging Plan Received; 22 Working Drawings Signed; 19 Contract Deposit Paid</t>
  </si>
  <si>
    <t>41 1st Site Inspection Actioned</t>
  </si>
  <si>
    <t>Back (14 Days)</t>
  </si>
  <si>
    <t>Items Actioned (5 Days)</t>
  </si>
  <si>
    <t>40 1st Site Inspection</t>
  </si>
  <si>
    <t>Retaining, Fencing &amp; BOB</t>
  </si>
  <si>
    <t>Retaining In Contract?</t>
  </si>
  <si>
    <t>Retaining Required Before Or During Build</t>
  </si>
  <si>
    <t>Fencing In Contract?</t>
  </si>
  <si>
    <t>BOB Sent</t>
  </si>
  <si>
    <t>SA Water</t>
  </si>
  <si>
    <t>BOB Signed + Contact Details (30 Days)</t>
  </si>
  <si>
    <t>Construction Price Check (CPC) Sheet</t>
  </si>
  <si>
    <t>Fencing Notices Issued to client</t>
  </si>
  <si>
    <t>Variation</t>
  </si>
  <si>
    <t>42 Fencing/Retaining Checks</t>
  </si>
  <si>
    <t>Fencing Sent Via Registered Mail</t>
  </si>
  <si>
    <t>Building Rules Consent (BRC)</t>
  </si>
  <si>
    <t>Registered Mail Collected</t>
  </si>
  <si>
    <t>KBS</t>
  </si>
  <si>
    <t>30 day overdue letter</t>
  </si>
  <si>
    <t>CITB</t>
  </si>
  <si>
    <t>Cross Notice Received / Notes</t>
  </si>
  <si>
    <t>Development Approval (DA)</t>
  </si>
  <si>
    <t>Cross notice responded to (7 Days)</t>
  </si>
  <si>
    <t>Final Site Inspection</t>
  </si>
  <si>
    <t>Fencing Notices Completed + Saved in folder (14 Days)</t>
  </si>
  <si>
    <t>SA Water Docs proposed location Plan ordered</t>
  </si>
  <si>
    <t>HOW Insurance</t>
  </si>
  <si>
    <t>Construction Release</t>
  </si>
  <si>
    <t>Cross check SA Water Locations against Working Drawings</t>
  </si>
  <si>
    <t>PWA Cancellation</t>
  </si>
  <si>
    <t>Invoice Received</t>
  </si>
  <si>
    <t>Contract Cancellation</t>
  </si>
  <si>
    <t>1 - Footings</t>
  </si>
  <si>
    <t>Invoice paid (2 Days)</t>
  </si>
  <si>
    <t>45 SA Water Docs</t>
  </si>
  <si>
    <t>2 - Frame</t>
  </si>
  <si>
    <t>Confirmation of SA Water Meters &amp; Sewer Connection on Site</t>
  </si>
  <si>
    <t>4 - Roof Cover</t>
  </si>
  <si>
    <t>Construction Price Check (CPC) Sheet requested</t>
  </si>
  <si>
    <t>Log on trello</t>
  </si>
  <si>
    <t>3 - External Cladding</t>
  </si>
  <si>
    <t>5 - 2nd Fix</t>
  </si>
  <si>
    <t>received (14 Days)</t>
  </si>
  <si>
    <t>6 - Practical Completion</t>
  </si>
  <si>
    <t>7 - Handover</t>
  </si>
  <si>
    <t>sent to Gary</t>
  </si>
  <si>
    <t>Gary communicate to client /meeting (3 Days)</t>
  </si>
  <si>
    <t>Variation issued?</t>
  </si>
  <si>
    <t>Variation Signed / Approved (14 Days)</t>
  </si>
  <si>
    <t>Check contract Vegetation Site Scrape</t>
  </si>
  <si>
    <t>Required Yes/No</t>
  </si>
  <si>
    <t>Received (5 Days)</t>
  </si>
  <si>
    <t>BRC/KBS</t>
  </si>
  <si>
    <t>31 Framing Drawings and Layouts; 24 Final EER Ordered; 22 Working Drawings Signed; 19 Contract Deposit Paid; 33 Beam Design</t>
  </si>
  <si>
    <t>52 Footing Quotes Release; 51 Development Approval; 56 Finance Approval; 53 Final Construction Check</t>
  </si>
  <si>
    <t>Paid (Admin - CC)</t>
  </si>
  <si>
    <t>DA</t>
  </si>
  <si>
    <t>DA Requested</t>
  </si>
  <si>
    <t>DA Approved (7 Days)</t>
  </si>
  <si>
    <t>Final Site Inspection, confirmation of Services</t>
  </si>
  <si>
    <t>Back (7 Days)</t>
  </si>
  <si>
    <t>Actioned</t>
  </si>
  <si>
    <t>Updated Progress Payment Schedule issued for VO's over $40K</t>
  </si>
  <si>
    <t>Total of Variations Incl. CPC</t>
  </si>
  <si>
    <t>Revised Progress Claim amount/Total Build Amount - Approved by Accounts</t>
  </si>
  <si>
    <t>Loan Approval Requested</t>
  </si>
  <si>
    <t>Loan Approval Received (14 Days)</t>
  </si>
  <si>
    <t>Further Proof of Finance</t>
  </si>
  <si>
    <t>Commencement Letter requested</t>
  </si>
  <si>
    <t>Commencement Letter received</t>
  </si>
  <si>
    <t>Settlement on Land - Titles</t>
  </si>
  <si>
    <t>Discuss amount with Craig</t>
  </si>
  <si>
    <t>Requested</t>
  </si>
  <si>
    <t>Invoiced Paid</t>
  </si>
  <si>
    <t>Released to Construction</t>
  </si>
  <si>
    <t>Request Released to Construction Template CRAIG</t>
  </si>
  <si>
    <t>Pre Release to Scheduling and PO's</t>
  </si>
  <si>
    <t>Scheduling, Finance</t>
  </si>
  <si>
    <t>released to construction (HOW Complete)</t>
  </si>
  <si>
    <t>56 Finance Approval; 55 2nd Site Inspection Actioned; 53 Final Construction Check; 52 Footing Quotes Release; 51 Development Approval</t>
  </si>
  <si>
    <t>Letter Issued (also update col B to 'cancelling')</t>
  </si>
  <si>
    <t>Signed Returned</t>
  </si>
  <si>
    <t>Followed Up (Unsigned)</t>
  </si>
  <si>
    <t>Advised Departments Job Closed</t>
  </si>
  <si>
    <t>Refund Y/N</t>
  </si>
  <si>
    <t>Agreed Amount $</t>
  </si>
  <si>
    <t>Release of Documents Y/N</t>
  </si>
  <si>
    <t>Letter Issued</t>
  </si>
  <si>
    <t>Followed up Unsigned</t>
  </si>
  <si>
    <t>Payment Made</t>
  </si>
  <si>
    <t>Documents Released</t>
  </si>
  <si>
    <t>ID</t>
  </si>
  <si>
    <t>Task Name</t>
  </si>
  <si>
    <t>Forecast Start</t>
  </si>
  <si>
    <t>team</t>
  </si>
  <si>
    <t>Days</t>
  </si>
  <si>
    <t>FOOTINGS</t>
  </si>
  <si>
    <t>COMMENCE CONSTRUCTION</t>
  </si>
  <si>
    <t>Construction Admin</t>
  </si>
  <si>
    <t>Council Notification - Commence Construction</t>
  </si>
  <si>
    <t>TEMPORARY FENCE INSTALL</t>
  </si>
  <si>
    <t>SITE TOILET DELIVERY</t>
  </si>
  <si>
    <t>RETAINING</t>
  </si>
  <si>
    <t>Council Notification - Steel Inspection</t>
  </si>
  <si>
    <t>SLAB POUR</t>
  </si>
  <si>
    <t>11, 7, 10, 12, 13, 17, 9</t>
  </si>
  <si>
    <t>Customer Notification - Footings Complete</t>
  </si>
  <si>
    <t>Claim - Footings Stage - Completed</t>
  </si>
  <si>
    <t>UNDERGROUND ELEC</t>
  </si>
  <si>
    <t>STORMWATER</t>
  </si>
  <si>
    <t>FINAL TRIM</t>
  </si>
  <si>
    <t>15, 14</t>
  </si>
  <si>
    <t>BIN DELIVERY</t>
  </si>
  <si>
    <t>BRICKS DELIVERY</t>
  </si>
  <si>
    <t>FRAMING</t>
  </si>
  <si>
    <t>WALL FRAME DELIVERY</t>
  </si>
  <si>
    <t>TRUSSES DELIVERY</t>
  </si>
  <si>
    <t>WINDOW DELIVERY</t>
  </si>
  <si>
    <t>1ST FIX CARPENTER LABOUR</t>
  </si>
  <si>
    <t>21, 28, 24, 22, 33, 23</t>
  </si>
  <si>
    <t>Council Notification - Wall &amp; Roof Frame</t>
  </si>
  <si>
    <t>Customer Notification - Wall &amp; Roof Frame Complete</t>
  </si>
  <si>
    <t>Claim - Wall &amp; Roof Frame Stage</t>
  </si>
  <si>
    <t>FRAME CHECK (3RD PARTY)</t>
  </si>
  <si>
    <t>Construction (Site Supervisor)</t>
  </si>
  <si>
    <t>26, 25, 27</t>
  </si>
  <si>
    <t>1ST FIX PLUMBING</t>
  </si>
  <si>
    <t>1ST FIX GAS</t>
  </si>
  <si>
    <t>CABINETRY MEASURE</t>
  </si>
  <si>
    <t>ROOFING INSTALL</t>
  </si>
  <si>
    <t>29, 32, 30, 34, 31</t>
  </si>
  <si>
    <t>Customer Notification - Roof Cover Complete</t>
  </si>
  <si>
    <t>Claim - Roof Cover Stage</t>
  </si>
  <si>
    <t>VELUXE / SKYLIGHT INSTALL</t>
  </si>
  <si>
    <t>SOLAR INSTALL (1)</t>
  </si>
  <si>
    <t>31, 28</t>
  </si>
  <si>
    <t>TERMITE TREATMENT</t>
  </si>
  <si>
    <t>SAND / CEMENT / HWS BOX DELIVERY</t>
  </si>
  <si>
    <t>37, 35, 36</t>
  </si>
  <si>
    <t>LOWER CLADDING</t>
  </si>
  <si>
    <t>40, 38, 51, 39, 42</t>
  </si>
  <si>
    <t>GAS BOX DELIVERY</t>
  </si>
  <si>
    <t>GAS BOX INSTALL</t>
  </si>
  <si>
    <t>Council Notification - External Cladding</t>
  </si>
  <si>
    <t>Customer Notification - External Cladding Complete</t>
  </si>
  <si>
    <t>Claim - External Cladding Stage</t>
  </si>
  <si>
    <t>POST CLADDING ITEMS</t>
  </si>
  <si>
    <t>LOWER EAVES DELIVERY</t>
  </si>
  <si>
    <t>LOWER EAVES INSTALL</t>
  </si>
  <si>
    <t>RENDER</t>
  </si>
  <si>
    <t>BRICK CLEAN</t>
  </si>
  <si>
    <t>GARAGE DOOR MEASURE</t>
  </si>
  <si>
    <t>LOWER DOWNPIPE INSTALL</t>
  </si>
  <si>
    <t>STORMWATER CONNECTION</t>
  </si>
  <si>
    <t>CALL UP GAS RUN IN</t>
  </si>
  <si>
    <t>1ST FIX</t>
  </si>
  <si>
    <t>STUD CHECK / FRAME OUT VELUXE</t>
  </si>
  <si>
    <t>54, 52, 55, 56, 57, 53</t>
  </si>
  <si>
    <t>1ST FIX ELECTRICAL</t>
  </si>
  <si>
    <t>SOLAR INSTALL (2)</t>
  </si>
  <si>
    <t>1ST FIX ALARM / SECURITY</t>
  </si>
  <si>
    <t>1ST FIX AIRCON</t>
  </si>
  <si>
    <t>TILES DELIVERY</t>
  </si>
  <si>
    <t>2ND FIX DELIVERY</t>
  </si>
  <si>
    <t>GYPROCK INSTALL</t>
  </si>
  <si>
    <t>52, 53, 54, 55</t>
  </si>
  <si>
    <t>ELECTRICAL CUTOUTS</t>
  </si>
  <si>
    <t>WATERPROOFING</t>
  </si>
  <si>
    <t>62, 61</t>
  </si>
  <si>
    <t>Council Notification - Waterproofing</t>
  </si>
  <si>
    <t>SCREEDING (TILER)</t>
  </si>
  <si>
    <t>2ND FIX CARPENTRY LABOUR</t>
  </si>
  <si>
    <t>57, 62</t>
  </si>
  <si>
    <t>65, 67, 64</t>
  </si>
  <si>
    <t>Customer Notification - 2nd Fix Complete</t>
  </si>
  <si>
    <t>Claim - 2nd Fix Stage</t>
  </si>
  <si>
    <t>INTERNAL FITOUT</t>
  </si>
  <si>
    <t>1ST COAT PAINTING</t>
  </si>
  <si>
    <t>CABINETRY INSTALL</t>
  </si>
  <si>
    <t>69, 70</t>
  </si>
  <si>
    <t>STONE MEASURE</t>
  </si>
  <si>
    <t>TILING LABOUR</t>
  </si>
  <si>
    <t>78, 72, 74, 79, 81, 71, 83, 75, 82, 80</t>
  </si>
  <si>
    <t>SANITARY INSTALL</t>
  </si>
  <si>
    <t>GARAGE DOOR INSTALL</t>
  </si>
  <si>
    <t>STONE INSTALL</t>
  </si>
  <si>
    <t>82, 80, 83, 81, 78, 79</t>
  </si>
  <si>
    <t>SCREEN / ROBE MEASURE</t>
  </si>
  <si>
    <t>ACCESSORIES - DELIVERY</t>
  </si>
  <si>
    <t>ACCESSORIES - INSTALL</t>
  </si>
  <si>
    <t>2ND FIX SERVICES</t>
  </si>
  <si>
    <t>2ND FIX PLUMBING</t>
  </si>
  <si>
    <t>70, 73</t>
  </si>
  <si>
    <t>2ND FIX GAS</t>
  </si>
  <si>
    <t>2ND FIX ELECTRICAL</t>
  </si>
  <si>
    <t>73, 70</t>
  </si>
  <si>
    <t>2ND FIX AIRCON</t>
  </si>
  <si>
    <t>2ND FIX ALARM / SECURITY</t>
  </si>
  <si>
    <t>TILING (SPLASHBACKS)</t>
  </si>
  <si>
    <t>FINAL COAT PAINT</t>
  </si>
  <si>
    <t>FLOORING INSTALL</t>
  </si>
  <si>
    <t>SKIRTINGS / HANDLES INSTALL</t>
  </si>
  <si>
    <t>PRACTICLE COMPLETION (PCI)</t>
  </si>
  <si>
    <t>Claim - Practical Completion</t>
  </si>
  <si>
    <t>1ST HOUSE CLEAN</t>
  </si>
  <si>
    <t>CONSTRUCTION WALK</t>
  </si>
  <si>
    <t>92, 91</t>
  </si>
  <si>
    <t>Customer Care - Book PCI</t>
  </si>
  <si>
    <t>TOUCH UPS</t>
  </si>
  <si>
    <t>PCI WALKTHROUGH</t>
  </si>
  <si>
    <t>91, 92</t>
  </si>
  <si>
    <t>88, 99, 94, 95</t>
  </si>
  <si>
    <t>Customer Care - Book Handover Appointment</t>
  </si>
  <si>
    <t>APPLIANCES - DELIVERY</t>
  </si>
  <si>
    <t>98, 96, 97</t>
  </si>
  <si>
    <t>PLUMBER APPLIANCES - INSTALL</t>
  </si>
  <si>
    <t>ELECTRICIAN APPLIANCES - INSTALL</t>
  </si>
  <si>
    <t>GAS APPLIANCES - INSTALL</t>
  </si>
  <si>
    <t>HANDOVER</t>
  </si>
  <si>
    <t>93+10</t>
  </si>
  <si>
    <t>FENCING</t>
  </si>
  <si>
    <t>BASE PREP</t>
  </si>
  <si>
    <t>SEWER CHECK</t>
  </si>
  <si>
    <t>PAVING / CONCRETE</t>
  </si>
  <si>
    <t>RAINWATWATER TANK</t>
  </si>
  <si>
    <t>LANDSCAPING</t>
  </si>
  <si>
    <t>LETTER BOX</t>
  </si>
  <si>
    <t>CLOTHSLINE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</si>
</sst>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, m, yyyy"/>
    <numFmt numFmtId="165" formatCode="d, m"/>
    <numFmt numFmtId="166" formatCode="d-m"/>
  </numFmts>
  <fonts count="7">
    <font>
      <sz val="11.0"/>
      <color theme="1"/>
      <name val="Calibri"/>
      <scheme val="minor"/>
    </font>
    <font>
      <b/>
      <color theme="1"/>
      <name val="Calibri"/>
    </font>
    <font>
      <b/>
      <sz val="10.0"/>
      <color rgb="FFFFFFFF"/>
      <name val="Arial"/>
    </font>
    <font>
      <color theme="1"/>
      <name val="Calibri"/>
    </font>
    <font>
      <sz val="10.0"/>
      <color theme="1"/>
      <name val="Arial"/>
    </font>
    <font>
      <sz val="10.0"/>
      <color rgb="FF000000"/>
      <name val="Arial"/>
    </font>
    <font>
      <sz val="12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FFFF00"/>
        <bgColor rgb="FFFFFF00"/>
      </patternFill>
    </fill>
    <fill>
      <patternFill patternType="solid">
        <fgColor rgb="FFD9E2F3"/>
        <bgColor rgb="FFD9E2F3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shrinkToFit="0" vertical="top" wrapText="1"/>
    </xf>
    <xf borderId="0" fillId="0" fontId="3" numFmtId="0" xfId="0" applyFont="1"/>
    <xf borderId="0" fillId="3" fontId="3" numFmtId="0" xfId="0" applyFill="1" applyFont="1"/>
    <xf borderId="0" fillId="0" fontId="4" numFmtId="0" xfId="0" applyAlignment="1" applyFont="1">
      <alignment shrinkToFit="0" vertical="top" wrapText="1"/>
    </xf>
    <xf borderId="1" fillId="4" fontId="4" numFmtId="0" xfId="0" applyAlignment="1" applyBorder="1" applyFill="1" applyFont="1">
      <alignment shrinkToFit="0" vertical="top" wrapText="1"/>
    </xf>
    <xf borderId="0" fillId="0" fontId="4" numFmtId="0" xfId="0" applyFont="1"/>
    <xf borderId="0" fillId="0" fontId="4" numFmtId="0" xfId="0" applyAlignment="1" applyFont="1">
      <alignment vertical="top"/>
    </xf>
    <xf borderId="0" fillId="0" fontId="5" numFmtId="0" xfId="0" applyAlignment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0" fillId="0" fontId="6" numFmtId="0" xfId="0" applyAlignment="1" applyFont="1">
      <alignment horizontal="right" shrinkToFit="0" vertical="bottom" wrapText="0"/>
    </xf>
    <xf borderId="0" fillId="0" fontId="6" numFmtId="164" xfId="0" applyAlignment="1" applyFont="1" applyNumberFormat="1">
      <alignment shrinkToFit="0" vertical="bottom" wrapText="0"/>
    </xf>
    <xf borderId="0" fillId="0" fontId="6" numFmtId="165" xfId="0" applyAlignment="1" applyFont="1" applyNumberFormat="1">
      <alignment shrinkToFit="0" vertical="bottom" wrapText="0"/>
    </xf>
    <xf borderId="0" fillId="0" fontId="6" numFmtId="166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1.14"/>
    <col customWidth="1" min="2" max="2" width="31.14"/>
    <col customWidth="1" min="3" max="3" width="8.29"/>
    <col customWidth="1" min="4" max="4" width="20.0"/>
    <col customWidth="1" min="5" max="6" width="14.43"/>
  </cols>
  <sheetData>
    <row r="1">
      <c r="A1" s="1" t="s">
        <v>0</v>
      </c>
      <c r="B1" s="1" t="s">
        <v>2</v>
      </c>
      <c r="C1" s="1" t="s">
        <v>3</v>
      </c>
      <c r="D1" s="3" t="s">
        <v>4</v>
      </c>
    </row>
    <row r="2">
      <c r="A2" s="3" t="s">
        <v>6</v>
      </c>
      <c r="B2" s="3" t="s">
        <v>8</v>
      </c>
      <c r="C2" s="3">
        <v>1.0</v>
      </c>
    </row>
    <row r="3">
      <c r="A3" s="3" t="s">
        <v>10</v>
      </c>
      <c r="B3" s="3" t="s">
        <v>11</v>
      </c>
      <c r="C3" s="3">
        <v>2.0</v>
      </c>
    </row>
    <row r="4">
      <c r="A4" s="3" t="s">
        <v>12</v>
      </c>
      <c r="B4" s="3" t="s">
        <v>13</v>
      </c>
      <c r="C4" s="3">
        <v>3.0</v>
      </c>
    </row>
    <row r="5">
      <c r="A5" s="4" t="s">
        <v>15</v>
      </c>
      <c r="B5" s="4" t="s">
        <v>18</v>
      </c>
      <c r="C5" s="4">
        <v>4.0</v>
      </c>
      <c r="D5" s="4"/>
    </row>
    <row r="6">
      <c r="A6" s="3" t="s">
        <v>20</v>
      </c>
      <c r="B6" s="3" t="s">
        <v>21</v>
      </c>
      <c r="C6" s="3">
        <v>5.0</v>
      </c>
    </row>
    <row r="7">
      <c r="A7" s="3" t="s">
        <v>23</v>
      </c>
      <c r="B7" s="3" t="s">
        <v>25</v>
      </c>
      <c r="C7" s="3">
        <v>6.0</v>
      </c>
    </row>
    <row r="8">
      <c r="A8" s="3" t="s">
        <v>27</v>
      </c>
      <c r="B8" s="3" t="s">
        <v>28</v>
      </c>
      <c r="C8" s="3">
        <v>7.0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0"/>
    <col customWidth="1" min="2" max="3" width="21.71"/>
    <col customWidth="1" min="4" max="4" width="24.0"/>
    <col customWidth="1" min="5" max="6" width="40.0"/>
    <col customWidth="1" min="7" max="7" width="12.0"/>
    <col customWidth="1" min="8" max="8" width="9.0"/>
    <col customWidth="1" min="9" max="9" width="26.0"/>
    <col customWidth="1" min="10" max="10" width="11.0"/>
    <col customWidth="1" min="11" max="12" width="30.0"/>
  </cols>
  <sheetData>
    <row r="1" ht="55.5" customHeight="1">
      <c r="A1" s="2" t="s">
        <v>1</v>
      </c>
      <c r="B1" s="2" t="s">
        <v>5</v>
      </c>
      <c r="C1" s="2" t="s">
        <v>7</v>
      </c>
      <c r="D1" s="2" t="s">
        <v>9</v>
      </c>
      <c r="E1" s="2"/>
      <c r="F1" s="2" t="s">
        <v>14</v>
      </c>
      <c r="G1" s="2" t="s">
        <v>16</v>
      </c>
      <c r="H1" s="2" t="s">
        <v>17</v>
      </c>
      <c r="I1" s="2" t="s">
        <v>19</v>
      </c>
      <c r="J1" s="2" t="s">
        <v>22</v>
      </c>
      <c r="K1" s="2" t="s">
        <v>24</v>
      </c>
      <c r="L1" s="2" t="s">
        <v>26</v>
      </c>
    </row>
    <row r="2">
      <c r="A2" s="5">
        <v>1.0</v>
      </c>
      <c r="B2" s="5" t="s">
        <v>29</v>
      </c>
      <c r="C2" s="5" t="s">
        <v>29</v>
      </c>
      <c r="D2" s="5" t="s">
        <v>30</v>
      </c>
      <c r="E2" s="5" t="str">
        <f t="shared" ref="E2:E286" si="1">CONCATENATE(D2," ",F2)</f>
        <v>New Project Agreement type</v>
      </c>
      <c r="F2" s="5" t="s">
        <v>31</v>
      </c>
      <c r="G2" s="5" t="s">
        <v>32</v>
      </c>
      <c r="H2" s="5" t="s">
        <v>33</v>
      </c>
      <c r="I2" s="5" t="s">
        <v>34</v>
      </c>
      <c r="J2" s="5"/>
      <c r="K2" s="5"/>
      <c r="L2" s="5"/>
    </row>
    <row r="3">
      <c r="A3" s="5">
        <v>13.0</v>
      </c>
      <c r="B3" s="5" t="s">
        <v>29</v>
      </c>
      <c r="C3" s="5" t="s">
        <v>29</v>
      </c>
      <c r="D3" s="5" t="s">
        <v>30</v>
      </c>
      <c r="E3" s="5" t="str">
        <f t="shared" si="1"/>
        <v>New Project Sales Consultant</v>
      </c>
      <c r="F3" s="5" t="s">
        <v>35</v>
      </c>
      <c r="G3" s="5" t="s">
        <v>36</v>
      </c>
      <c r="H3" s="6" t="s">
        <v>37</v>
      </c>
      <c r="I3" s="5" t="s">
        <v>34</v>
      </c>
      <c r="J3" s="5"/>
      <c r="K3" s="5"/>
      <c r="L3" s="5"/>
    </row>
    <row r="4">
      <c r="A4" s="5">
        <v>14.0</v>
      </c>
      <c r="B4" s="5" t="s">
        <v>29</v>
      </c>
      <c r="C4" s="5" t="s">
        <v>29</v>
      </c>
      <c r="D4" s="5" t="s">
        <v>38</v>
      </c>
      <c r="E4" s="5" t="str">
        <f t="shared" si="1"/>
        <v>New Job Site Supervisor</v>
      </c>
      <c r="F4" s="5" t="s">
        <v>39</v>
      </c>
      <c r="G4" s="5" t="s">
        <v>36</v>
      </c>
      <c r="H4" s="6" t="s">
        <v>37</v>
      </c>
      <c r="I4" s="5" t="s">
        <v>34</v>
      </c>
      <c r="J4" s="5"/>
      <c r="K4" s="5"/>
      <c r="L4" s="5"/>
    </row>
    <row r="5">
      <c r="A5" s="5">
        <v>15.0</v>
      </c>
      <c r="B5" s="5" t="s">
        <v>29</v>
      </c>
      <c r="C5" s="5" t="s">
        <v>29</v>
      </c>
      <c r="D5" s="5" t="s">
        <v>38</v>
      </c>
      <c r="E5" s="5" t="str">
        <f t="shared" si="1"/>
        <v>New Job Estimator</v>
      </c>
      <c r="F5" s="5" t="s">
        <v>40</v>
      </c>
      <c r="G5" s="5" t="s">
        <v>36</v>
      </c>
      <c r="H5" s="6" t="s">
        <v>37</v>
      </c>
      <c r="I5" s="5" t="s">
        <v>34</v>
      </c>
      <c r="J5" s="5"/>
      <c r="K5" s="5"/>
      <c r="L5" s="5"/>
    </row>
    <row r="6">
      <c r="A6" s="5">
        <v>16.0</v>
      </c>
      <c r="B6" s="5" t="s">
        <v>29</v>
      </c>
      <c r="C6" s="5" t="s">
        <v>29</v>
      </c>
      <c r="D6" s="5" t="s">
        <v>38</v>
      </c>
      <c r="E6" s="5" t="str">
        <f t="shared" si="1"/>
        <v>New Job Link</v>
      </c>
      <c r="F6" s="5" t="s">
        <v>41</v>
      </c>
      <c r="G6" s="5" t="s">
        <v>42</v>
      </c>
      <c r="H6" s="5" t="s">
        <v>33</v>
      </c>
      <c r="I6" s="5" t="s">
        <v>34</v>
      </c>
      <c r="J6" s="5"/>
      <c r="K6" s="5"/>
      <c r="L6" s="5"/>
    </row>
    <row r="7">
      <c r="A7" s="5">
        <v>18.0</v>
      </c>
      <c r="B7" s="5" t="s">
        <v>29</v>
      </c>
      <c r="C7" s="5" t="s">
        <v>29</v>
      </c>
      <c r="D7" s="5" t="s">
        <v>38</v>
      </c>
      <c r="E7" s="5" t="str">
        <f t="shared" si="1"/>
        <v>New Job Number of Single Stories Dwellings</v>
      </c>
      <c r="F7" s="5" t="s">
        <v>43</v>
      </c>
      <c r="G7" s="5" t="s">
        <v>44</v>
      </c>
      <c r="H7" s="6" t="s">
        <v>37</v>
      </c>
      <c r="I7" s="5" t="s">
        <v>34</v>
      </c>
      <c r="J7" s="5"/>
      <c r="K7" s="5"/>
      <c r="L7" s="5"/>
    </row>
    <row r="8">
      <c r="A8" s="5">
        <v>19.0</v>
      </c>
      <c r="B8" s="5" t="s">
        <v>29</v>
      </c>
      <c r="C8" s="5" t="s">
        <v>29</v>
      </c>
      <c r="D8" s="5" t="s">
        <v>38</v>
      </c>
      <c r="E8" s="5" t="str">
        <f t="shared" si="1"/>
        <v>New Job Number of Double Stories Dwellings</v>
      </c>
      <c r="F8" s="5" t="s">
        <v>45</v>
      </c>
      <c r="G8" s="5" t="s">
        <v>44</v>
      </c>
      <c r="H8" s="6" t="s">
        <v>37</v>
      </c>
      <c r="I8" s="5" t="s">
        <v>34</v>
      </c>
      <c r="J8" s="5"/>
      <c r="K8" s="5"/>
      <c r="L8" s="5"/>
    </row>
    <row r="9" ht="15.75" customHeight="1">
      <c r="A9" s="5">
        <v>20.0</v>
      </c>
      <c r="B9" s="5" t="s">
        <v>29</v>
      </c>
      <c r="C9" s="5" t="s">
        <v>29</v>
      </c>
      <c r="D9" s="5" t="s">
        <v>30</v>
      </c>
      <c r="E9" s="5" t="str">
        <f t="shared" si="1"/>
        <v>New Project Number of Total Dwellings</v>
      </c>
      <c r="F9" s="5" t="s">
        <v>46</v>
      </c>
      <c r="G9" s="5" t="s">
        <v>44</v>
      </c>
      <c r="H9" s="6" t="s">
        <v>37</v>
      </c>
      <c r="I9" s="5" t="s">
        <v>34</v>
      </c>
      <c r="J9" s="5"/>
      <c r="K9" s="5"/>
      <c r="L9" s="5"/>
    </row>
    <row r="10" ht="15.75" customHeight="1">
      <c r="A10" s="5">
        <v>21.0</v>
      </c>
      <c r="B10" s="5" t="s">
        <v>11</v>
      </c>
      <c r="D10" s="5" t="s">
        <v>47</v>
      </c>
      <c r="E10" s="5" t="str">
        <f t="shared" si="1"/>
        <v>PWA &amp; Invoice Contract Issued</v>
      </c>
      <c r="F10" s="5" t="s">
        <v>48</v>
      </c>
      <c r="G10" s="5" t="s">
        <v>49</v>
      </c>
      <c r="H10" s="5" t="s">
        <v>33</v>
      </c>
      <c r="I10" s="5" t="s">
        <v>34</v>
      </c>
      <c r="J10" s="5">
        <v>3.0</v>
      </c>
      <c r="K10" s="5"/>
      <c r="L10" s="5" t="s">
        <v>50</v>
      </c>
    </row>
    <row r="11" ht="15.75" customHeight="1">
      <c r="A11" s="5">
        <v>22.0</v>
      </c>
      <c r="B11" s="5" t="s">
        <v>11</v>
      </c>
      <c r="D11" s="5" t="s">
        <v>47</v>
      </c>
      <c r="E11" s="5" t="str">
        <f t="shared" si="1"/>
        <v>PWA &amp; Invoice Contract Signed </v>
      </c>
      <c r="F11" s="5" t="s">
        <v>51</v>
      </c>
      <c r="G11" s="5" t="s">
        <v>52</v>
      </c>
      <c r="H11" s="5" t="s">
        <v>33</v>
      </c>
      <c r="I11" s="5" t="s">
        <v>34</v>
      </c>
      <c r="J11" s="5"/>
      <c r="K11" s="5"/>
      <c r="L11" s="5"/>
    </row>
    <row r="12" ht="15.75" customHeight="1">
      <c r="A12" s="5">
        <v>23.0</v>
      </c>
      <c r="B12" s="5" t="s">
        <v>11</v>
      </c>
      <c r="C12" s="5" t="s">
        <v>53</v>
      </c>
      <c r="D12" s="5" t="s">
        <v>47</v>
      </c>
      <c r="E12" s="5" t="str">
        <f t="shared" si="1"/>
        <v>PWA &amp; Invoice Deposit 1 Paid</v>
      </c>
      <c r="F12" s="5" t="s">
        <v>54</v>
      </c>
      <c r="G12" s="5" t="s">
        <v>52</v>
      </c>
      <c r="H12" s="5" t="s">
        <v>33</v>
      </c>
      <c r="I12" s="5" t="s">
        <v>34</v>
      </c>
      <c r="J12" s="5">
        <v>7.0</v>
      </c>
      <c r="K12" s="5"/>
      <c r="L12" s="5"/>
    </row>
    <row r="13" ht="15.75" customHeight="1">
      <c r="A13" s="5">
        <v>24.0</v>
      </c>
      <c r="B13" s="5" t="s">
        <v>11</v>
      </c>
      <c r="C13" s="5" t="s">
        <v>53</v>
      </c>
      <c r="D13" s="5" t="s">
        <v>47</v>
      </c>
      <c r="E13" s="5" t="str">
        <f t="shared" si="1"/>
        <v>PWA &amp; Invoice $ Amount Paid</v>
      </c>
      <c r="F13" s="5" t="s">
        <v>55</v>
      </c>
      <c r="G13" s="5" t="s">
        <v>56</v>
      </c>
      <c r="H13" s="5" t="s">
        <v>33</v>
      </c>
      <c r="I13" s="5" t="s">
        <v>34</v>
      </c>
      <c r="J13" s="5"/>
      <c r="K13" s="5"/>
      <c r="L13" s="5"/>
    </row>
    <row r="14" ht="15.75" customHeight="1">
      <c r="A14" s="5">
        <v>25.0</v>
      </c>
      <c r="B14" s="5" t="s">
        <v>11</v>
      </c>
      <c r="C14" s="5" t="s">
        <v>53</v>
      </c>
      <c r="D14" s="5" t="s">
        <v>58</v>
      </c>
      <c r="E14" s="5" t="str">
        <f t="shared" si="1"/>
        <v>(1 Day) Sales Documents (Incl. Site Inspection) Complete</v>
      </c>
      <c r="F14" s="5" t="s">
        <v>59</v>
      </c>
      <c r="G14" s="5" t="s">
        <v>60</v>
      </c>
      <c r="H14" s="5" t="s">
        <v>33</v>
      </c>
      <c r="I14" s="5" t="s">
        <v>34</v>
      </c>
      <c r="J14" s="5"/>
      <c r="K14" s="5"/>
      <c r="L14" s="5"/>
    </row>
    <row r="15" ht="15.75" customHeight="1">
      <c r="A15" s="5">
        <v>26.0</v>
      </c>
      <c r="B15" s="5" t="s">
        <v>11</v>
      </c>
      <c r="C15" s="5" t="s">
        <v>53</v>
      </c>
      <c r="D15" s="5" t="s">
        <v>62</v>
      </c>
      <c r="E15" s="5" t="str">
        <f t="shared" si="1"/>
        <v>Added to Trello Trello</v>
      </c>
      <c r="F15" s="5" t="s">
        <v>63</v>
      </c>
      <c r="G15" s="5" t="s">
        <v>60</v>
      </c>
      <c r="H15" s="5" t="s">
        <v>33</v>
      </c>
      <c r="I15" s="5" t="s">
        <v>34</v>
      </c>
      <c r="J15" s="5">
        <v>7.0</v>
      </c>
      <c r="K15" s="5"/>
      <c r="L15" s="5"/>
    </row>
    <row r="16" ht="15.75" customHeight="1">
      <c r="A16" s="5">
        <v>27.0</v>
      </c>
      <c r="B16" s="5" t="s">
        <v>11</v>
      </c>
      <c r="C16" s="5" t="s">
        <v>53</v>
      </c>
      <c r="D16" s="5" t="s">
        <v>64</v>
      </c>
      <c r="E16" s="5" t="str">
        <f t="shared" si="1"/>
        <v>Concept Plan Ordered</v>
      </c>
      <c r="F16" s="5" t="s">
        <v>65</v>
      </c>
      <c r="G16" s="5" t="s">
        <v>66</v>
      </c>
      <c r="H16" s="6" t="s">
        <v>37</v>
      </c>
      <c r="I16" s="5" t="s">
        <v>34</v>
      </c>
      <c r="J16" s="5">
        <v>7.0</v>
      </c>
      <c r="K16" s="5" t="s">
        <v>67</v>
      </c>
      <c r="L16" s="5" t="s">
        <v>68</v>
      </c>
    </row>
    <row r="17" ht="15.75" customHeight="1">
      <c r="A17" s="5">
        <v>28.0</v>
      </c>
      <c r="B17" s="5" t="s">
        <v>11</v>
      </c>
      <c r="C17" s="5" t="s">
        <v>53</v>
      </c>
      <c r="D17" s="5" t="s">
        <v>64</v>
      </c>
      <c r="E17" s="5" t="str">
        <f t="shared" si="1"/>
        <v>Concept Plan Received</v>
      </c>
      <c r="F17" s="5" t="s">
        <v>69</v>
      </c>
      <c r="G17" s="5" t="s">
        <v>66</v>
      </c>
      <c r="H17" s="6" t="s">
        <v>37</v>
      </c>
      <c r="I17" s="5" t="s">
        <v>34</v>
      </c>
      <c r="J17" s="5">
        <v>7.0</v>
      </c>
      <c r="K17" s="5" t="s">
        <v>67</v>
      </c>
      <c r="L17" s="5" t="s">
        <v>68</v>
      </c>
    </row>
    <row r="18" ht="15.75" customHeight="1">
      <c r="A18" s="5">
        <v>29.0</v>
      </c>
      <c r="B18" s="5" t="s">
        <v>11</v>
      </c>
      <c r="C18" s="5" t="s">
        <v>53</v>
      </c>
      <c r="D18" s="5" t="s">
        <v>64</v>
      </c>
      <c r="E18" s="5" t="str">
        <f t="shared" si="1"/>
        <v>Concept Plan Amendment Ordered</v>
      </c>
      <c r="F18" s="5" t="s">
        <v>70</v>
      </c>
      <c r="G18" s="5" t="s">
        <v>66</v>
      </c>
      <c r="H18" s="6" t="s">
        <v>37</v>
      </c>
      <c r="I18" s="5" t="s">
        <v>71</v>
      </c>
      <c r="J18" s="5">
        <v>7.0</v>
      </c>
      <c r="K18" s="5" t="s">
        <v>67</v>
      </c>
      <c r="L18" s="5" t="s">
        <v>68</v>
      </c>
    </row>
    <row r="19" ht="15.75" customHeight="1">
      <c r="A19" s="5">
        <v>30.0</v>
      </c>
      <c r="B19" s="5" t="s">
        <v>11</v>
      </c>
      <c r="C19" s="5" t="s">
        <v>53</v>
      </c>
      <c r="D19" s="5" t="s">
        <v>64</v>
      </c>
      <c r="E19" s="5" t="str">
        <f t="shared" si="1"/>
        <v>Concept Plan Amendment Received</v>
      </c>
      <c r="F19" s="5" t="s">
        <v>72</v>
      </c>
      <c r="G19" s="5" t="s">
        <v>66</v>
      </c>
      <c r="H19" s="6" t="s">
        <v>37</v>
      </c>
      <c r="I19" s="5"/>
      <c r="J19" s="5">
        <v>7.0</v>
      </c>
      <c r="K19" s="5" t="s">
        <v>67</v>
      </c>
      <c r="L19" s="5" t="s">
        <v>68</v>
      </c>
    </row>
    <row r="20" ht="15.75" customHeight="1">
      <c r="A20" s="5">
        <v>31.0</v>
      </c>
      <c r="B20" s="5" t="s">
        <v>11</v>
      </c>
      <c r="C20" s="5" t="s">
        <v>53</v>
      </c>
      <c r="D20" s="5" t="s">
        <v>64</v>
      </c>
      <c r="E20" s="5" t="str">
        <f t="shared" si="1"/>
        <v>Concept Plan Signed Off (7 Days)</v>
      </c>
      <c r="F20" s="5" t="s">
        <v>73</v>
      </c>
      <c r="G20" s="5" t="s">
        <v>66</v>
      </c>
      <c r="H20" s="6" t="s">
        <v>37</v>
      </c>
      <c r="I20" s="5" t="s">
        <v>71</v>
      </c>
      <c r="J20" s="5">
        <v>7.0</v>
      </c>
      <c r="K20" s="5" t="s">
        <v>67</v>
      </c>
      <c r="L20" s="5" t="s">
        <v>68</v>
      </c>
    </row>
    <row r="21" ht="15.75" customHeight="1">
      <c r="A21" s="5">
        <v>32.0</v>
      </c>
      <c r="B21" s="5" t="s">
        <v>11</v>
      </c>
      <c r="C21" s="5" t="s">
        <v>53</v>
      </c>
      <c r="D21" s="5" t="s">
        <v>74</v>
      </c>
      <c r="E21" s="5" t="str">
        <f t="shared" si="1"/>
        <v>Site Survey Ordered</v>
      </c>
      <c r="F21" s="5" t="s">
        <v>65</v>
      </c>
      <c r="G21" s="5" t="s">
        <v>66</v>
      </c>
      <c r="H21" s="6" t="s">
        <v>37</v>
      </c>
      <c r="I21" s="5"/>
      <c r="J21" s="5">
        <v>7.0</v>
      </c>
      <c r="K21" s="5" t="s">
        <v>75</v>
      </c>
      <c r="L21" s="5" t="s">
        <v>76</v>
      </c>
    </row>
    <row r="22" ht="15.75" customHeight="1">
      <c r="A22" s="5">
        <v>33.0</v>
      </c>
      <c r="B22" s="5" t="s">
        <v>11</v>
      </c>
      <c r="C22" s="5" t="s">
        <v>53</v>
      </c>
      <c r="D22" s="5" t="s">
        <v>74</v>
      </c>
      <c r="E22" s="5" t="str">
        <f t="shared" si="1"/>
        <v>Site Survey Received </v>
      </c>
      <c r="F22" s="5" t="s">
        <v>77</v>
      </c>
      <c r="G22" s="5" t="s">
        <v>66</v>
      </c>
      <c r="H22" s="6" t="s">
        <v>37</v>
      </c>
      <c r="I22" s="5"/>
      <c r="J22" s="5">
        <v>14.0</v>
      </c>
      <c r="K22" s="5" t="s">
        <v>75</v>
      </c>
      <c r="L22" s="5" t="s">
        <v>76</v>
      </c>
    </row>
    <row r="23" ht="15.75" customHeight="1">
      <c r="A23" s="5">
        <v>34.0</v>
      </c>
      <c r="B23" s="5" t="s">
        <v>11</v>
      </c>
      <c r="C23" s="5" t="s">
        <v>53</v>
      </c>
      <c r="D23" s="5" t="s">
        <v>78</v>
      </c>
      <c r="E23" s="5" t="str">
        <f t="shared" si="1"/>
        <v>Soil - Bore Logs Ordered</v>
      </c>
      <c r="F23" s="5" t="s">
        <v>65</v>
      </c>
      <c r="G23" s="5" t="s">
        <v>66</v>
      </c>
      <c r="H23" s="6" t="s">
        <v>37</v>
      </c>
      <c r="I23" s="5"/>
      <c r="J23" s="5">
        <v>10.0</v>
      </c>
      <c r="K23" s="5" t="s">
        <v>75</v>
      </c>
      <c r="L23" s="5"/>
    </row>
    <row r="24" ht="15.75" customHeight="1">
      <c r="A24" s="5">
        <v>35.0</v>
      </c>
      <c r="B24" s="5" t="s">
        <v>11</v>
      </c>
      <c r="C24" s="5" t="s">
        <v>53</v>
      </c>
      <c r="D24" s="5" t="s">
        <v>78</v>
      </c>
      <c r="E24" s="5" t="str">
        <f t="shared" si="1"/>
        <v>Soil - Bore Logs Received (14 Days)</v>
      </c>
      <c r="F24" s="5" t="s">
        <v>79</v>
      </c>
      <c r="G24" s="5" t="s">
        <v>66</v>
      </c>
      <c r="H24" s="6" t="s">
        <v>37</v>
      </c>
      <c r="I24" s="5"/>
      <c r="J24" s="5">
        <v>14.0</v>
      </c>
      <c r="K24" s="5" t="s">
        <v>75</v>
      </c>
      <c r="L24" s="5"/>
    </row>
    <row r="25" ht="15.75" customHeight="1">
      <c r="A25" s="5">
        <v>36.0</v>
      </c>
      <c r="B25" s="5" t="s">
        <v>11</v>
      </c>
      <c r="C25" s="5" t="s">
        <v>53</v>
      </c>
      <c r="D25" s="5" t="s">
        <v>80</v>
      </c>
      <c r="E25" s="5" t="str">
        <f t="shared" si="1"/>
        <v>Planning Drawings Ordered</v>
      </c>
      <c r="F25" s="5" t="s">
        <v>65</v>
      </c>
      <c r="G25" s="5" t="s">
        <v>66</v>
      </c>
      <c r="H25" s="6" t="s">
        <v>37</v>
      </c>
      <c r="I25" s="5"/>
      <c r="J25" s="5">
        <v>1.0</v>
      </c>
      <c r="K25" s="5" t="s">
        <v>81</v>
      </c>
      <c r="L25" s="5"/>
    </row>
    <row r="26" ht="15.75" customHeight="1">
      <c r="A26" s="5">
        <v>37.0</v>
      </c>
      <c r="B26" s="5" t="s">
        <v>11</v>
      </c>
      <c r="C26" s="5" t="s">
        <v>53</v>
      </c>
      <c r="D26" s="5" t="s">
        <v>80</v>
      </c>
      <c r="E26" s="5" t="str">
        <f t="shared" si="1"/>
        <v>Planning Drawings Received</v>
      </c>
      <c r="F26" s="5" t="s">
        <v>69</v>
      </c>
      <c r="G26" s="5" t="s">
        <v>66</v>
      </c>
      <c r="H26" s="6" t="s">
        <v>37</v>
      </c>
      <c r="I26" s="5" t="s">
        <v>34</v>
      </c>
      <c r="J26" s="5">
        <v>7.0</v>
      </c>
      <c r="K26" s="5" t="s">
        <v>82</v>
      </c>
      <c r="L26" s="5" t="s">
        <v>83</v>
      </c>
    </row>
    <row r="27" ht="15.75" customHeight="1">
      <c r="A27" s="5">
        <v>38.0</v>
      </c>
      <c r="B27" s="5" t="s">
        <v>11</v>
      </c>
      <c r="C27" s="5" t="s">
        <v>53</v>
      </c>
      <c r="D27" s="5" t="s">
        <v>80</v>
      </c>
      <c r="E27" s="5" t="str">
        <f t="shared" si="1"/>
        <v>Planning Drawings Amendment Ordered</v>
      </c>
      <c r="F27" s="5" t="s">
        <v>70</v>
      </c>
      <c r="G27" s="5" t="s">
        <v>66</v>
      </c>
      <c r="H27" s="6" t="s">
        <v>37</v>
      </c>
      <c r="I27" s="5"/>
      <c r="J27" s="5">
        <v>1.0</v>
      </c>
      <c r="K27" s="5" t="s">
        <v>81</v>
      </c>
      <c r="L27" s="5"/>
    </row>
    <row r="28" ht="15.75" customHeight="1">
      <c r="A28" s="5">
        <v>39.0</v>
      </c>
      <c r="B28" s="5" t="s">
        <v>11</v>
      </c>
      <c r="C28" s="5" t="s">
        <v>53</v>
      </c>
      <c r="D28" s="5" t="s">
        <v>80</v>
      </c>
      <c r="E28" s="5" t="str">
        <f t="shared" si="1"/>
        <v>Planning Drawings Amendment Received</v>
      </c>
      <c r="F28" s="5" t="s">
        <v>72</v>
      </c>
      <c r="G28" s="5" t="s">
        <v>66</v>
      </c>
      <c r="H28" s="6" t="s">
        <v>37</v>
      </c>
      <c r="I28" s="5"/>
      <c r="J28" s="5">
        <v>1.0</v>
      </c>
      <c r="K28" s="5" t="s">
        <v>81</v>
      </c>
      <c r="L28" s="5"/>
    </row>
    <row r="29" ht="15.75" customHeight="1">
      <c r="A29" s="5">
        <v>40.0</v>
      </c>
      <c r="B29" s="5" t="s">
        <v>11</v>
      </c>
      <c r="C29" s="5" t="s">
        <v>53</v>
      </c>
      <c r="D29" s="5" t="s">
        <v>80</v>
      </c>
      <c r="E29" s="5" t="str">
        <f t="shared" si="1"/>
        <v>Planning Drawings Signed off (14 Days)</v>
      </c>
      <c r="F29" s="5" t="s">
        <v>84</v>
      </c>
      <c r="G29" s="5" t="s">
        <v>66</v>
      </c>
      <c r="H29" s="6" t="s">
        <v>37</v>
      </c>
      <c r="I29" s="5" t="s">
        <v>71</v>
      </c>
      <c r="J29" s="5">
        <v>14.0</v>
      </c>
      <c r="K29" s="5" t="s">
        <v>81</v>
      </c>
      <c r="L29" s="5"/>
    </row>
    <row r="30" ht="15.75" customHeight="1">
      <c r="A30" s="5">
        <v>41.0</v>
      </c>
      <c r="B30" s="5" t="s">
        <v>11</v>
      </c>
      <c r="C30" s="5" t="s">
        <v>53</v>
      </c>
      <c r="D30" s="5" t="s">
        <v>85</v>
      </c>
      <c r="E30" s="5" t="str">
        <f t="shared" si="1"/>
        <v>Prelim EER Ordered</v>
      </c>
      <c r="F30" s="5" t="s">
        <v>65</v>
      </c>
      <c r="G30" s="5" t="s">
        <v>66</v>
      </c>
      <c r="H30" s="5" t="s">
        <v>33</v>
      </c>
      <c r="I30" s="5"/>
      <c r="J30" s="5">
        <v>14.0</v>
      </c>
      <c r="K30" s="5" t="s">
        <v>81</v>
      </c>
      <c r="L30" s="5"/>
    </row>
    <row r="31" ht="15.75" customHeight="1">
      <c r="A31" s="5">
        <v>42.0</v>
      </c>
      <c r="B31" s="5" t="s">
        <v>11</v>
      </c>
      <c r="C31" s="5" t="s">
        <v>53</v>
      </c>
      <c r="D31" s="5" t="s">
        <v>85</v>
      </c>
      <c r="E31" s="5" t="str">
        <f t="shared" si="1"/>
        <v>Prelim EER Received (2 Days)</v>
      </c>
      <c r="F31" s="5" t="s">
        <v>86</v>
      </c>
      <c r="G31" s="5" t="s">
        <v>66</v>
      </c>
      <c r="H31" s="5" t="s">
        <v>33</v>
      </c>
      <c r="I31" s="5" t="s">
        <v>71</v>
      </c>
      <c r="J31" s="5">
        <v>2.0</v>
      </c>
      <c r="K31" s="5" t="s">
        <v>87</v>
      </c>
      <c r="L31" s="5"/>
    </row>
    <row r="32" ht="15.75" customHeight="1">
      <c r="A32" s="5">
        <v>43.0</v>
      </c>
      <c r="B32" s="5" t="s">
        <v>11</v>
      </c>
      <c r="C32" s="5" t="s">
        <v>53</v>
      </c>
      <c r="D32" s="5" t="s">
        <v>85</v>
      </c>
      <c r="E32" s="5" t="str">
        <f t="shared" si="1"/>
        <v>Prelim EER Confirm EER option with Scheduling</v>
      </c>
      <c r="F32" s="5" t="s">
        <v>88</v>
      </c>
      <c r="G32" s="5" t="s">
        <v>66</v>
      </c>
      <c r="H32" s="5" t="s">
        <v>33</v>
      </c>
      <c r="I32" s="5"/>
      <c r="J32" s="5">
        <v>2.0</v>
      </c>
      <c r="K32" s="5" t="s">
        <v>76</v>
      </c>
      <c r="L32" s="5" t="s">
        <v>89</v>
      </c>
    </row>
    <row r="33" ht="15.75" customHeight="1">
      <c r="A33" s="5">
        <v>44.0</v>
      </c>
      <c r="B33" s="5" t="s">
        <v>11</v>
      </c>
      <c r="C33" s="5" t="s">
        <v>53</v>
      </c>
      <c r="D33" s="5" t="s">
        <v>85</v>
      </c>
      <c r="E33" s="5" t="str">
        <f t="shared" si="1"/>
        <v>Prelim EER Log on Sales Estimating Trello</v>
      </c>
      <c r="F33" s="5" t="s">
        <v>90</v>
      </c>
      <c r="G33" s="5" t="s">
        <v>66</v>
      </c>
      <c r="H33" s="5" t="s">
        <v>33</v>
      </c>
      <c r="I33" s="5"/>
      <c r="J33" s="5">
        <v>2.0</v>
      </c>
      <c r="K33" s="5" t="s">
        <v>76</v>
      </c>
      <c r="L33" s="5" t="s">
        <v>89</v>
      </c>
    </row>
    <row r="34" ht="15.75" customHeight="1">
      <c r="A34" s="5">
        <v>45.0</v>
      </c>
      <c r="B34" s="5" t="s">
        <v>11</v>
      </c>
      <c r="C34" s="5" t="s">
        <v>53</v>
      </c>
      <c r="D34" s="5" t="s">
        <v>85</v>
      </c>
      <c r="E34" s="5" t="str">
        <f t="shared" si="1"/>
        <v>Prelim EER Confirm EER Option with Scheduling</v>
      </c>
      <c r="F34" s="5" t="s">
        <v>91</v>
      </c>
      <c r="G34" s="5" t="s">
        <v>66</v>
      </c>
      <c r="H34" s="5" t="s">
        <v>33</v>
      </c>
      <c r="I34" s="5"/>
      <c r="J34" s="5">
        <v>2.0</v>
      </c>
      <c r="K34" s="5" t="s">
        <v>76</v>
      </c>
      <c r="L34" s="5" t="s">
        <v>89</v>
      </c>
    </row>
    <row r="35" ht="15.75" customHeight="1">
      <c r="A35" s="5">
        <v>46.0</v>
      </c>
      <c r="B35" s="5" t="s">
        <v>11</v>
      </c>
      <c r="C35" s="5" t="s">
        <v>53</v>
      </c>
      <c r="D35" s="5" t="s">
        <v>85</v>
      </c>
      <c r="E35" s="5" t="str">
        <f t="shared" si="1"/>
        <v>Prelim EER Received back from Estimating</v>
      </c>
      <c r="F35" s="5" t="s">
        <v>92</v>
      </c>
      <c r="G35" s="5" t="s">
        <v>66</v>
      </c>
      <c r="H35" s="5" t="s">
        <v>33</v>
      </c>
      <c r="I35" s="5" t="s">
        <v>94</v>
      </c>
      <c r="J35" s="5">
        <v>2.0</v>
      </c>
      <c r="K35" s="5" t="s">
        <v>76</v>
      </c>
      <c r="L35" s="5" t="s">
        <v>89</v>
      </c>
    </row>
    <row r="36" ht="15.75" customHeight="1">
      <c r="A36" s="5">
        <v>47.0</v>
      </c>
      <c r="B36" s="5" t="s">
        <v>11</v>
      </c>
      <c r="C36" s="5" t="s">
        <v>53</v>
      </c>
      <c r="D36" s="5" t="s">
        <v>96</v>
      </c>
      <c r="E36" s="5" t="str">
        <f t="shared" si="1"/>
        <v>Civil Plan Ordered</v>
      </c>
      <c r="F36" s="5" t="s">
        <v>65</v>
      </c>
      <c r="G36" s="5" t="s">
        <v>66</v>
      </c>
      <c r="H36" s="6" t="s">
        <v>37</v>
      </c>
      <c r="I36" s="5"/>
      <c r="J36" s="5">
        <v>10.0</v>
      </c>
      <c r="K36" s="5" t="s">
        <v>81</v>
      </c>
      <c r="L36" s="5" t="s">
        <v>98</v>
      </c>
    </row>
    <row r="37" ht="15.75" customHeight="1">
      <c r="A37" s="5">
        <v>48.0</v>
      </c>
      <c r="B37" s="5" t="s">
        <v>11</v>
      </c>
      <c r="C37" s="5" t="s">
        <v>53</v>
      </c>
      <c r="D37" s="5" t="s">
        <v>96</v>
      </c>
      <c r="E37" s="5" t="str">
        <f t="shared" si="1"/>
        <v>Civil Plan Received (10 Days)</v>
      </c>
      <c r="F37" s="5" t="s">
        <v>100</v>
      </c>
      <c r="G37" s="5" t="s">
        <v>66</v>
      </c>
      <c r="H37" s="6" t="s">
        <v>37</v>
      </c>
      <c r="I37" s="5" t="s">
        <v>71</v>
      </c>
      <c r="J37" s="5">
        <v>10.0</v>
      </c>
      <c r="K37" s="5" t="s">
        <v>102</v>
      </c>
      <c r="L37" s="5" t="s">
        <v>104</v>
      </c>
    </row>
    <row r="38" ht="15.75" customHeight="1">
      <c r="A38" s="5">
        <v>49.0</v>
      </c>
      <c r="B38" s="5" t="s">
        <v>11</v>
      </c>
      <c r="C38" s="5" t="s">
        <v>53</v>
      </c>
      <c r="D38" s="5" t="s">
        <v>96</v>
      </c>
      <c r="E38" s="5" t="str">
        <f t="shared" si="1"/>
        <v>Civil Plan Gavin Check Ordered</v>
      </c>
      <c r="F38" s="5" t="s">
        <v>105</v>
      </c>
      <c r="G38" s="5" t="s">
        <v>56</v>
      </c>
      <c r="H38" s="6" t="s">
        <v>37</v>
      </c>
      <c r="I38" s="5"/>
      <c r="J38" s="5"/>
      <c r="K38" s="5"/>
      <c r="L38" s="5"/>
    </row>
    <row r="39" ht="15.75" customHeight="1">
      <c r="A39" s="5">
        <v>50.0</v>
      </c>
      <c r="B39" s="5" t="s">
        <v>11</v>
      </c>
      <c r="C39" s="5" t="s">
        <v>53</v>
      </c>
      <c r="D39" s="5" t="s">
        <v>96</v>
      </c>
      <c r="E39" s="5" t="str">
        <f t="shared" si="1"/>
        <v>Civil Plan Gavin Check Returned (2 Days)</v>
      </c>
      <c r="F39" s="5" t="s">
        <v>106</v>
      </c>
      <c r="G39" s="5" t="s">
        <v>56</v>
      </c>
      <c r="H39" s="6" t="s">
        <v>37</v>
      </c>
      <c r="I39" s="5"/>
      <c r="J39" s="5">
        <v>2.0</v>
      </c>
      <c r="K39" s="5"/>
      <c r="L39" s="5"/>
    </row>
    <row r="40" ht="15.75" customHeight="1">
      <c r="A40" s="5">
        <v>51.0</v>
      </c>
      <c r="B40" s="5" t="s">
        <v>11</v>
      </c>
      <c r="C40" s="5" t="s">
        <v>53</v>
      </c>
      <c r="D40" s="5" t="s">
        <v>96</v>
      </c>
      <c r="E40" s="5" t="str">
        <f t="shared" si="1"/>
        <v>Civil Plan Amended Ordered</v>
      </c>
      <c r="F40" s="5" t="s">
        <v>107</v>
      </c>
      <c r="G40" s="5" t="s">
        <v>66</v>
      </c>
      <c r="H40" s="6" t="s">
        <v>37</v>
      </c>
      <c r="I40" s="5"/>
      <c r="J40" s="5">
        <v>10.0</v>
      </c>
      <c r="K40" s="5" t="s">
        <v>81</v>
      </c>
      <c r="L40" s="5" t="s">
        <v>98</v>
      </c>
    </row>
    <row r="41" ht="15.75" customHeight="1">
      <c r="A41" s="5">
        <v>52.0</v>
      </c>
      <c r="B41" s="5" t="s">
        <v>11</v>
      </c>
      <c r="C41" s="5" t="s">
        <v>53</v>
      </c>
      <c r="D41" s="5" t="s">
        <v>96</v>
      </c>
      <c r="E41" s="5" t="str">
        <f t="shared" si="1"/>
        <v>Civil Plan Amended Received (10 Days)</v>
      </c>
      <c r="F41" s="5" t="s">
        <v>109</v>
      </c>
      <c r="G41" s="5" t="s">
        <v>66</v>
      </c>
      <c r="H41" s="6" t="s">
        <v>37</v>
      </c>
      <c r="I41" s="5"/>
      <c r="J41" s="5">
        <v>10.0</v>
      </c>
      <c r="K41" s="5" t="s">
        <v>102</v>
      </c>
      <c r="L41" s="5" t="s">
        <v>104</v>
      </c>
    </row>
    <row r="42" ht="15.75" customHeight="1">
      <c r="A42" s="5">
        <v>53.0</v>
      </c>
      <c r="B42" s="5" t="s">
        <v>11</v>
      </c>
      <c r="C42" s="5" t="s">
        <v>53</v>
      </c>
      <c r="D42" s="5" t="s">
        <v>110</v>
      </c>
      <c r="E42" s="5" t="str">
        <f t="shared" si="1"/>
        <v>Prelim Footings Ordered</v>
      </c>
      <c r="F42" s="5" t="s">
        <v>65</v>
      </c>
      <c r="G42" s="5" t="s">
        <v>66</v>
      </c>
      <c r="H42" s="5" t="s">
        <v>33</v>
      </c>
      <c r="I42" s="5"/>
      <c r="J42" s="5"/>
      <c r="K42" s="5"/>
      <c r="L42" s="5"/>
    </row>
    <row r="43" ht="15.75" customHeight="1">
      <c r="A43" s="5">
        <v>54.0</v>
      </c>
      <c r="B43" s="5" t="s">
        <v>11</v>
      </c>
      <c r="C43" s="5" t="s">
        <v>53</v>
      </c>
      <c r="D43" s="5" t="s">
        <v>110</v>
      </c>
      <c r="E43" s="5" t="str">
        <f t="shared" si="1"/>
        <v>Prelim Footings Received (2 Days)</v>
      </c>
      <c r="F43" s="5" t="s">
        <v>86</v>
      </c>
      <c r="G43" s="5" t="s">
        <v>66</v>
      </c>
      <c r="H43" s="5" t="s">
        <v>33</v>
      </c>
      <c r="I43" s="5"/>
      <c r="J43" s="5">
        <v>2.0</v>
      </c>
      <c r="K43" s="5"/>
      <c r="L43" s="5"/>
    </row>
    <row r="44" ht="15.75" customHeight="1">
      <c r="A44" s="5">
        <v>55.0</v>
      </c>
      <c r="B44" s="5" t="s">
        <v>11</v>
      </c>
      <c r="C44" s="5" t="s">
        <v>53</v>
      </c>
      <c r="D44" s="5" t="s">
        <v>114</v>
      </c>
      <c r="E44" s="5" t="str">
        <f t="shared" si="1"/>
        <v>Lodged for Planning Approval Lodged</v>
      </c>
      <c r="F44" s="5" t="s">
        <v>115</v>
      </c>
      <c r="G44" s="5" t="s">
        <v>66</v>
      </c>
      <c r="H44" s="6" t="s">
        <v>37</v>
      </c>
      <c r="I44" s="5"/>
      <c r="J44" s="5">
        <v>21.0</v>
      </c>
      <c r="K44" s="5" t="s">
        <v>117</v>
      </c>
      <c r="L44" s="5" t="s">
        <v>118</v>
      </c>
    </row>
    <row r="45" ht="15.75" customHeight="1">
      <c r="A45" s="5">
        <v>56.0</v>
      </c>
      <c r="B45" s="5" t="s">
        <v>11</v>
      </c>
      <c r="C45" s="5" t="s">
        <v>53</v>
      </c>
      <c r="D45" s="5" t="s">
        <v>114</v>
      </c>
      <c r="E45" s="5" t="str">
        <f t="shared" si="1"/>
        <v>Lodged for Planning Approval Approved (28 Days)</v>
      </c>
      <c r="F45" s="5" t="s">
        <v>121</v>
      </c>
      <c r="G45" s="5" t="s">
        <v>66</v>
      </c>
      <c r="H45" s="6" t="s">
        <v>37</v>
      </c>
      <c r="I45" s="5"/>
      <c r="J45" s="5">
        <v>28.0</v>
      </c>
      <c r="K45" s="5" t="s">
        <v>117</v>
      </c>
      <c r="L45" s="5" t="s">
        <v>118</v>
      </c>
    </row>
    <row r="46" ht="15.75" customHeight="1">
      <c r="A46" s="5">
        <v>57.0</v>
      </c>
      <c r="B46" s="5" t="s">
        <v>11</v>
      </c>
      <c r="C46" s="5" t="s">
        <v>53</v>
      </c>
      <c r="D46" s="5" t="s">
        <v>114</v>
      </c>
      <c r="E46" s="5" t="str">
        <f t="shared" si="1"/>
        <v>Lodged for Planning Approval RFI Received</v>
      </c>
      <c r="F46" s="5" t="s">
        <v>122</v>
      </c>
      <c r="G46" s="5" t="s">
        <v>66</v>
      </c>
      <c r="H46" s="6" t="s">
        <v>37</v>
      </c>
      <c r="I46" s="5"/>
      <c r="J46" s="5">
        <v>21.0</v>
      </c>
      <c r="K46" s="5" t="s">
        <v>117</v>
      </c>
      <c r="L46" s="5" t="s">
        <v>118</v>
      </c>
    </row>
    <row r="47" ht="15.75" customHeight="1">
      <c r="A47" s="5">
        <v>58.0</v>
      </c>
      <c r="B47" s="5" t="s">
        <v>11</v>
      </c>
      <c r="C47" s="5" t="s">
        <v>53</v>
      </c>
      <c r="D47" s="5" t="s">
        <v>114</v>
      </c>
      <c r="E47" s="5" t="str">
        <f t="shared" si="1"/>
        <v>Lodged for Planning Approval RFI Responded (14 Days)</v>
      </c>
      <c r="F47" s="5" t="s">
        <v>123</v>
      </c>
      <c r="G47" s="5" t="s">
        <v>66</v>
      </c>
      <c r="H47" s="6" t="s">
        <v>37</v>
      </c>
      <c r="I47" s="5"/>
      <c r="J47" s="5">
        <v>14.0</v>
      </c>
      <c r="K47" s="5" t="s">
        <v>117</v>
      </c>
      <c r="L47" s="5" t="s">
        <v>118</v>
      </c>
    </row>
    <row r="48" ht="15.75" customHeight="1">
      <c r="A48" s="5">
        <v>59.0</v>
      </c>
      <c r="B48" s="5" t="s">
        <v>11</v>
      </c>
      <c r="C48" s="5" t="s">
        <v>53</v>
      </c>
      <c r="D48" s="5" t="s">
        <v>113</v>
      </c>
      <c r="E48" s="5" t="str">
        <f t="shared" si="1"/>
        <v>Final Quote Check Issued to Estimator</v>
      </c>
      <c r="F48" s="5" t="s">
        <v>124</v>
      </c>
      <c r="G48" s="5" t="s">
        <v>66</v>
      </c>
      <c r="H48" s="5" t="s">
        <v>33</v>
      </c>
      <c r="I48" s="5"/>
      <c r="J48" s="5">
        <v>10.0</v>
      </c>
      <c r="K48" s="5" t="s">
        <v>125</v>
      </c>
      <c r="L48" s="5" t="s">
        <v>126</v>
      </c>
    </row>
    <row r="49" ht="15.75" customHeight="1">
      <c r="A49" s="5">
        <v>60.0</v>
      </c>
      <c r="B49" s="5" t="s">
        <v>11</v>
      </c>
      <c r="C49" s="5" t="s">
        <v>53</v>
      </c>
      <c r="D49" s="5" t="s">
        <v>113</v>
      </c>
      <c r="E49" s="5" t="str">
        <f t="shared" si="1"/>
        <v>Final Quote Check Sent to S/C</v>
      </c>
      <c r="F49" s="5" t="s">
        <v>127</v>
      </c>
      <c r="G49" s="5" t="s">
        <v>66</v>
      </c>
      <c r="H49" s="5" t="s">
        <v>33</v>
      </c>
      <c r="I49" s="5"/>
      <c r="J49" s="5">
        <v>10.0</v>
      </c>
      <c r="K49" s="5" t="s">
        <v>125</v>
      </c>
      <c r="L49" s="5" t="s">
        <v>126</v>
      </c>
    </row>
    <row r="50" ht="15.75" customHeight="1">
      <c r="A50" s="5">
        <v>61.0</v>
      </c>
      <c r="B50" s="5" t="s">
        <v>11</v>
      </c>
      <c r="C50" s="5" t="s">
        <v>53</v>
      </c>
      <c r="D50" s="5" t="s">
        <v>113</v>
      </c>
      <c r="E50" s="5" t="str">
        <f t="shared" si="1"/>
        <v>Final Quote Check Contract Sent to Ryan</v>
      </c>
      <c r="F50" s="5" t="s">
        <v>128</v>
      </c>
      <c r="G50" s="5" t="s">
        <v>66</v>
      </c>
      <c r="H50" s="5" t="s">
        <v>33</v>
      </c>
      <c r="I50" s="5"/>
      <c r="J50" s="5">
        <v>10.0</v>
      </c>
      <c r="K50" s="5" t="s">
        <v>125</v>
      </c>
      <c r="L50" s="5" t="s">
        <v>126</v>
      </c>
    </row>
    <row r="51" ht="15.75" customHeight="1">
      <c r="A51" s="5">
        <v>62.0</v>
      </c>
      <c r="B51" s="5" t="s">
        <v>11</v>
      </c>
      <c r="C51" s="5" t="s">
        <v>53</v>
      </c>
      <c r="D51" s="5" t="s">
        <v>113</v>
      </c>
      <c r="E51" s="5" t="str">
        <f t="shared" si="1"/>
        <v>Final Quote Check Contract Approved by Ryan</v>
      </c>
      <c r="F51" s="5" t="s">
        <v>129</v>
      </c>
      <c r="G51" s="5" t="s">
        <v>66</v>
      </c>
      <c r="H51" s="5" t="s">
        <v>33</v>
      </c>
      <c r="I51" s="5"/>
      <c r="J51" s="5">
        <v>10.0</v>
      </c>
      <c r="K51" s="5" t="s">
        <v>125</v>
      </c>
      <c r="L51" s="5" t="s">
        <v>126</v>
      </c>
    </row>
    <row r="52" ht="15.75" customHeight="1">
      <c r="A52" s="5">
        <v>63.0</v>
      </c>
      <c r="B52" s="5" t="s">
        <v>11</v>
      </c>
      <c r="C52" s="5" t="s">
        <v>53</v>
      </c>
      <c r="D52" s="5" t="s">
        <v>130</v>
      </c>
      <c r="E52" s="5" t="str">
        <f t="shared" si="1"/>
        <v>Contracts/Send Finalised Quote Issued</v>
      </c>
      <c r="F52" s="5" t="s">
        <v>131</v>
      </c>
      <c r="G52" s="5" t="s">
        <v>66</v>
      </c>
      <c r="H52" s="5" t="s">
        <v>33</v>
      </c>
      <c r="I52" s="5"/>
      <c r="J52" s="5">
        <v>3.0</v>
      </c>
      <c r="K52" s="5"/>
      <c r="L52" s="5" t="s">
        <v>50</v>
      </c>
    </row>
    <row r="53" ht="15.75" customHeight="1">
      <c r="A53" s="5">
        <v>64.0</v>
      </c>
      <c r="B53" s="5" t="s">
        <v>11</v>
      </c>
      <c r="C53" s="5" t="s">
        <v>53</v>
      </c>
      <c r="D53" s="5" t="s">
        <v>130</v>
      </c>
      <c r="E53" s="5" t="str">
        <f t="shared" si="1"/>
        <v>Contracts/Send Finalised Quote Received (7 Days)</v>
      </c>
      <c r="F53" s="5" t="s">
        <v>132</v>
      </c>
      <c r="G53" s="5" t="s">
        <v>66</v>
      </c>
      <c r="H53" s="5" t="s">
        <v>33</v>
      </c>
      <c r="I53" s="5"/>
      <c r="J53" s="5">
        <v>7.0</v>
      </c>
      <c r="K53" s="5"/>
      <c r="L53" s="5"/>
    </row>
    <row r="54" ht="15.75" customHeight="1">
      <c r="A54" s="5">
        <v>65.0</v>
      </c>
      <c r="B54" s="5" t="s">
        <v>11</v>
      </c>
      <c r="C54" s="5" t="s">
        <v>53</v>
      </c>
      <c r="D54" s="5" t="s">
        <v>130</v>
      </c>
      <c r="E54" s="5" t="str">
        <f t="shared" si="1"/>
        <v>Contracts/Send Finalised Quote Sale Contact Client to Confirm No more Changes</v>
      </c>
      <c r="F54" s="5" t="s">
        <v>133</v>
      </c>
      <c r="G54" s="5" t="s">
        <v>134</v>
      </c>
      <c r="H54" s="5" t="s">
        <v>33</v>
      </c>
      <c r="I54" s="5"/>
      <c r="J54" s="5"/>
      <c r="K54" s="5"/>
      <c r="L54" s="5"/>
    </row>
    <row r="55" ht="15.75" customHeight="1">
      <c r="A55" s="5">
        <v>66.0</v>
      </c>
      <c r="B55" s="5" t="s">
        <v>11</v>
      </c>
      <c r="C55" s="5" t="s">
        <v>53</v>
      </c>
      <c r="D55" s="5" t="s">
        <v>135</v>
      </c>
      <c r="E55" s="5" t="str">
        <f t="shared" si="1"/>
        <v>2nd Deposit - contract deposit Issued</v>
      </c>
      <c r="F55" s="5" t="s">
        <v>131</v>
      </c>
      <c r="G55" s="5" t="s">
        <v>66</v>
      </c>
      <c r="H55" s="5" t="s">
        <v>33</v>
      </c>
      <c r="I55" s="5"/>
      <c r="J55" s="5">
        <v>3.0</v>
      </c>
      <c r="K55" s="5"/>
      <c r="L55" s="5" t="s">
        <v>50</v>
      </c>
    </row>
    <row r="56" ht="15.75" customHeight="1">
      <c r="A56" s="5">
        <v>67.0</v>
      </c>
      <c r="B56" s="5" t="s">
        <v>11</v>
      </c>
      <c r="C56" s="5" t="s">
        <v>53</v>
      </c>
      <c r="D56" s="5" t="s">
        <v>135</v>
      </c>
      <c r="E56" s="5" t="str">
        <f t="shared" si="1"/>
        <v>2nd Deposit - contract deposit Received (7 Days)</v>
      </c>
      <c r="F56" s="5" t="s">
        <v>132</v>
      </c>
      <c r="G56" s="5" t="s">
        <v>60</v>
      </c>
      <c r="H56" s="5" t="s">
        <v>33</v>
      </c>
      <c r="I56" s="5" t="s">
        <v>136</v>
      </c>
      <c r="J56" s="5">
        <v>7.0</v>
      </c>
      <c r="K56" s="5"/>
      <c r="L56" s="5"/>
    </row>
    <row r="57" ht="15.75" customHeight="1">
      <c r="A57" s="5">
        <v>68.0</v>
      </c>
      <c r="B57" s="5" t="s">
        <v>11</v>
      </c>
      <c r="C57" s="5" t="s">
        <v>53</v>
      </c>
      <c r="D57" s="5" t="s">
        <v>137</v>
      </c>
      <c r="E57" s="5" t="str">
        <f t="shared" si="1"/>
        <v>Contract value Contract Value $</v>
      </c>
      <c r="F57" s="5" t="s">
        <v>138</v>
      </c>
      <c r="G57" s="5" t="s">
        <v>139</v>
      </c>
      <c r="H57" s="5" t="s">
        <v>33</v>
      </c>
      <c r="I57" s="5"/>
      <c r="J57" s="5"/>
      <c r="K57" s="5"/>
      <c r="L57" s="5"/>
    </row>
    <row r="58" ht="15.75" customHeight="1">
      <c r="A58" s="5">
        <v>69.0</v>
      </c>
      <c r="B58" s="5" t="s">
        <v>11</v>
      </c>
      <c r="C58" s="5" t="s">
        <v>53</v>
      </c>
      <c r="D58" s="5" t="s">
        <v>140</v>
      </c>
      <c r="E58" s="5" t="str">
        <f t="shared" si="1"/>
        <v>Stage gate Stage 1 Complete</v>
      </c>
      <c r="F58" s="5" t="s">
        <v>141</v>
      </c>
      <c r="G58" s="5" t="s">
        <v>60</v>
      </c>
      <c r="H58" s="5" t="s">
        <v>33</v>
      </c>
      <c r="I58" s="5"/>
      <c r="J58" s="5"/>
      <c r="K58" s="5"/>
      <c r="L58" s="5"/>
    </row>
    <row r="59" ht="15.75" customHeight="1">
      <c r="A59" s="5">
        <v>70.0</v>
      </c>
      <c r="B59" s="5" t="s">
        <v>11</v>
      </c>
      <c r="C59" s="5" t="s">
        <v>142</v>
      </c>
      <c r="D59" s="5" t="s">
        <v>120</v>
      </c>
      <c r="E59" s="5" t="str">
        <f t="shared" si="1"/>
        <v>DNF Conditions Check Completed</v>
      </c>
      <c r="F59" s="5" t="s">
        <v>21</v>
      </c>
      <c r="G59" s="5" t="s">
        <v>66</v>
      </c>
      <c r="H59" s="5" t="s">
        <v>33</v>
      </c>
      <c r="I59" s="5"/>
      <c r="J59" s="5"/>
      <c r="K59" s="5"/>
      <c r="L59" s="5"/>
    </row>
    <row r="60" ht="15.75" customHeight="1">
      <c r="A60" s="5">
        <v>71.0</v>
      </c>
      <c r="B60" s="5" t="s">
        <v>11</v>
      </c>
      <c r="C60" s="5" t="s">
        <v>142</v>
      </c>
      <c r="D60" s="5" t="s">
        <v>143</v>
      </c>
      <c r="E60" s="5" t="str">
        <f t="shared" si="1"/>
        <v>Working Drawings Ordered</v>
      </c>
      <c r="F60" s="5" t="s">
        <v>65</v>
      </c>
      <c r="G60" s="5" t="s">
        <v>66</v>
      </c>
      <c r="H60" s="5" t="s">
        <v>33</v>
      </c>
      <c r="I60" s="5" t="s">
        <v>34</v>
      </c>
      <c r="J60" s="5">
        <v>14.0</v>
      </c>
      <c r="K60" s="5" t="s">
        <v>144</v>
      </c>
      <c r="L60" s="5" t="s">
        <v>145</v>
      </c>
    </row>
    <row r="61" ht="15.75" customHeight="1">
      <c r="A61" s="5">
        <v>72.0</v>
      </c>
      <c r="B61" s="5" t="s">
        <v>11</v>
      </c>
      <c r="C61" s="5" t="s">
        <v>142</v>
      </c>
      <c r="D61" s="5" t="s">
        <v>143</v>
      </c>
      <c r="E61" s="5" t="str">
        <f t="shared" si="1"/>
        <v>Working Drawings Received (14 Days)</v>
      </c>
      <c r="F61" s="5" t="s">
        <v>79</v>
      </c>
      <c r="G61" s="5" t="s">
        <v>66</v>
      </c>
      <c r="H61" s="5" t="s">
        <v>33</v>
      </c>
      <c r="I61" s="5"/>
      <c r="J61" s="5">
        <v>14.0</v>
      </c>
      <c r="K61" s="5" t="s">
        <v>145</v>
      </c>
      <c r="L61" s="5" t="s">
        <v>146</v>
      </c>
    </row>
    <row r="62" ht="15.75" customHeight="1">
      <c r="A62" s="5">
        <v>73.0</v>
      </c>
      <c r="B62" s="5" t="s">
        <v>11</v>
      </c>
      <c r="C62" s="5" t="s">
        <v>142</v>
      </c>
      <c r="D62" s="5" t="s">
        <v>143</v>
      </c>
      <c r="E62" s="5" t="str">
        <f t="shared" si="1"/>
        <v>Working Drawings Plan Check complete</v>
      </c>
      <c r="F62" s="5" t="s">
        <v>147</v>
      </c>
      <c r="G62" s="5" t="s">
        <v>66</v>
      </c>
      <c r="H62" s="5" t="s">
        <v>33</v>
      </c>
      <c r="I62" s="5"/>
      <c r="J62" s="5">
        <v>3.0</v>
      </c>
      <c r="K62" s="5" t="s">
        <v>145</v>
      </c>
      <c r="L62" s="5" t="s">
        <v>146</v>
      </c>
    </row>
    <row r="63" ht="15.75" customHeight="1">
      <c r="A63" s="5">
        <v>74.0</v>
      </c>
      <c r="B63" s="5" t="s">
        <v>11</v>
      </c>
      <c r="C63" s="5" t="s">
        <v>142</v>
      </c>
      <c r="D63" s="5" t="s">
        <v>143</v>
      </c>
      <c r="E63" s="5" t="str">
        <f t="shared" si="1"/>
        <v>Working Drawings Logged for Amends</v>
      </c>
      <c r="F63" s="5" t="s">
        <v>148</v>
      </c>
      <c r="G63" s="5" t="s">
        <v>134</v>
      </c>
      <c r="H63" s="5" t="s">
        <v>33</v>
      </c>
      <c r="I63" s="5"/>
      <c r="J63" s="5">
        <v>3.0</v>
      </c>
      <c r="K63" s="5" t="s">
        <v>145</v>
      </c>
      <c r="L63" s="5" t="s">
        <v>146</v>
      </c>
    </row>
    <row r="64" ht="15.75" customHeight="1">
      <c r="A64" s="5">
        <v>75.0</v>
      </c>
      <c r="B64" s="5" t="s">
        <v>11</v>
      </c>
      <c r="C64" s="5" t="s">
        <v>142</v>
      </c>
      <c r="D64" s="5" t="s">
        <v>143</v>
      </c>
      <c r="E64" s="5" t="str">
        <f t="shared" si="1"/>
        <v>Working Drawings Amends received</v>
      </c>
      <c r="F64" s="5" t="s">
        <v>149</v>
      </c>
      <c r="G64" s="5" t="s">
        <v>134</v>
      </c>
      <c r="H64" s="5" t="s">
        <v>33</v>
      </c>
      <c r="I64" s="5"/>
      <c r="J64" s="5">
        <v>3.0</v>
      </c>
      <c r="K64" s="5" t="s">
        <v>145</v>
      </c>
      <c r="L64" s="5" t="s">
        <v>146</v>
      </c>
    </row>
    <row r="65" ht="15.75" customHeight="1">
      <c r="A65" s="5">
        <v>76.0</v>
      </c>
      <c r="B65" s="5" t="s">
        <v>11</v>
      </c>
      <c r="C65" s="5" t="s">
        <v>142</v>
      </c>
      <c r="D65" s="5" t="s">
        <v>143</v>
      </c>
      <c r="E65" s="5" t="str">
        <f t="shared" si="1"/>
        <v>Working Drawings Amended Plans Checked</v>
      </c>
      <c r="F65" s="5" t="s">
        <v>150</v>
      </c>
      <c r="G65" s="5" t="s">
        <v>134</v>
      </c>
      <c r="H65" s="5" t="s">
        <v>33</v>
      </c>
      <c r="I65" s="5"/>
      <c r="J65" s="5">
        <v>3.0</v>
      </c>
      <c r="K65" s="5" t="s">
        <v>145</v>
      </c>
      <c r="L65" s="5" t="s">
        <v>146</v>
      </c>
    </row>
    <row r="66" ht="15.75" customHeight="1">
      <c r="A66" s="5">
        <v>77.0</v>
      </c>
      <c r="B66" s="5" t="s">
        <v>11</v>
      </c>
      <c r="C66" s="5" t="s">
        <v>142</v>
      </c>
      <c r="D66" s="5" t="s">
        <v>143</v>
      </c>
      <c r="E66" s="5" t="str">
        <f t="shared" si="1"/>
        <v>Working Drawings Finalised and signed (10 Days)</v>
      </c>
      <c r="F66" s="5" t="s">
        <v>151</v>
      </c>
      <c r="G66" s="5" t="s">
        <v>134</v>
      </c>
      <c r="H66" s="5" t="s">
        <v>33</v>
      </c>
      <c r="I66" s="5"/>
      <c r="J66" s="5">
        <v>10.0</v>
      </c>
      <c r="K66" s="5" t="s">
        <v>145</v>
      </c>
      <c r="L66" s="5" t="s">
        <v>146</v>
      </c>
    </row>
    <row r="67" ht="15.75" customHeight="1">
      <c r="A67" s="5">
        <v>78.0</v>
      </c>
      <c r="B67" s="5" t="s">
        <v>11</v>
      </c>
      <c r="C67" s="5" t="s">
        <v>142</v>
      </c>
      <c r="D67" s="5" t="s">
        <v>152</v>
      </c>
      <c r="E67" s="5" t="str">
        <f t="shared" si="1"/>
        <v>Pegging Plan/Encroachment Plan Ordered</v>
      </c>
      <c r="F67" s="5" t="s">
        <v>65</v>
      </c>
      <c r="G67" s="5" t="s">
        <v>134</v>
      </c>
      <c r="H67" s="6" t="s">
        <v>37</v>
      </c>
      <c r="I67" s="5"/>
      <c r="J67" s="5"/>
      <c r="K67" s="5"/>
      <c r="L67" s="5"/>
    </row>
    <row r="68" ht="15.75" customHeight="1">
      <c r="A68" s="5">
        <v>79.0</v>
      </c>
      <c r="B68" s="5" t="s">
        <v>11</v>
      </c>
      <c r="C68" s="5" t="s">
        <v>142</v>
      </c>
      <c r="D68" s="5" t="s">
        <v>152</v>
      </c>
      <c r="E68" s="5" t="str">
        <f t="shared" si="1"/>
        <v>Pegging Plan/Encroachment Plan Received (7 Days)</v>
      </c>
      <c r="F68" s="5" t="s">
        <v>132</v>
      </c>
      <c r="G68" s="5" t="s">
        <v>134</v>
      </c>
      <c r="H68" s="6" t="s">
        <v>37</v>
      </c>
      <c r="I68" s="5" t="s">
        <v>71</v>
      </c>
      <c r="J68" s="5">
        <v>7.0</v>
      </c>
      <c r="K68" s="5"/>
      <c r="L68" s="5"/>
    </row>
    <row r="69" ht="15.75" customHeight="1">
      <c r="A69" s="5">
        <v>80.0</v>
      </c>
      <c r="B69" s="5" t="s">
        <v>11</v>
      </c>
      <c r="C69" s="5" t="s">
        <v>142</v>
      </c>
      <c r="D69" s="5" t="s">
        <v>153</v>
      </c>
      <c r="E69" s="5" t="str">
        <f t="shared" si="1"/>
        <v>Finalised EER Ordered</v>
      </c>
      <c r="F69" s="5" t="s">
        <v>65</v>
      </c>
      <c r="G69" s="5" t="s">
        <v>66</v>
      </c>
      <c r="H69" s="5" t="s">
        <v>33</v>
      </c>
      <c r="I69" s="5" t="s">
        <v>71</v>
      </c>
      <c r="J69" s="5">
        <v>5.0</v>
      </c>
      <c r="K69" s="5" t="s">
        <v>154</v>
      </c>
      <c r="L69" s="5" t="s">
        <v>155</v>
      </c>
    </row>
    <row r="70" ht="15.75" customHeight="1">
      <c r="A70" s="5">
        <v>81.0</v>
      </c>
      <c r="B70" s="5" t="s">
        <v>11</v>
      </c>
      <c r="C70" s="5" t="s">
        <v>142</v>
      </c>
      <c r="D70" s="5" t="s">
        <v>153</v>
      </c>
      <c r="E70" s="5" t="str">
        <f t="shared" si="1"/>
        <v>Finalised EER Received (7 Days)</v>
      </c>
      <c r="F70" s="5" t="s">
        <v>132</v>
      </c>
      <c r="G70" s="5" t="s">
        <v>66</v>
      </c>
      <c r="H70" s="5" t="s">
        <v>33</v>
      </c>
      <c r="I70" s="5" t="s">
        <v>156</v>
      </c>
      <c r="J70" s="5">
        <v>7.0</v>
      </c>
      <c r="K70" s="5"/>
      <c r="L70" s="5"/>
    </row>
    <row r="71" ht="15.75" customHeight="1">
      <c r="A71" s="5">
        <v>82.0</v>
      </c>
      <c r="B71" s="5" t="s">
        <v>11</v>
      </c>
      <c r="C71" s="5" t="s">
        <v>142</v>
      </c>
      <c r="D71" s="5" t="s">
        <v>153</v>
      </c>
      <c r="E71" s="5" t="str">
        <f t="shared" si="1"/>
        <v>Finalised EER Sent to Scheduling</v>
      </c>
      <c r="F71" s="5" t="s">
        <v>157</v>
      </c>
      <c r="G71" s="5" t="s">
        <v>134</v>
      </c>
      <c r="H71" s="5" t="s">
        <v>33</v>
      </c>
      <c r="I71" s="5" t="s">
        <v>156</v>
      </c>
      <c r="J71" s="5"/>
      <c r="K71" s="5"/>
      <c r="L71" s="5"/>
    </row>
    <row r="72" ht="15.75" customHeight="1">
      <c r="A72" s="5">
        <v>83.0</v>
      </c>
      <c r="B72" s="5" t="s">
        <v>11</v>
      </c>
      <c r="C72" s="5" t="s">
        <v>142</v>
      </c>
      <c r="D72" s="5" t="s">
        <v>153</v>
      </c>
      <c r="E72" s="5" t="str">
        <f t="shared" si="1"/>
        <v>Finalised EER Received back from Scheduling (1 Day)</v>
      </c>
      <c r="F72" s="5" t="s">
        <v>158</v>
      </c>
      <c r="G72" s="5" t="s">
        <v>134</v>
      </c>
      <c r="H72" s="5" t="s">
        <v>33</v>
      </c>
      <c r="I72" s="5" t="s">
        <v>71</v>
      </c>
      <c r="J72" s="5">
        <v>1.0</v>
      </c>
      <c r="K72" s="5"/>
      <c r="L72" s="5"/>
    </row>
    <row r="73" ht="15.75" customHeight="1">
      <c r="A73" s="5">
        <v>84.0</v>
      </c>
      <c r="B73" s="5" t="s">
        <v>11</v>
      </c>
      <c r="C73" s="5" t="s">
        <v>142</v>
      </c>
      <c r="D73" s="5" t="s">
        <v>140</v>
      </c>
      <c r="E73" s="5" t="str">
        <f t="shared" si="1"/>
        <v>Stage gate Stage 2 Complete</v>
      </c>
      <c r="F73" s="5" t="s">
        <v>159</v>
      </c>
      <c r="G73" s="5" t="s">
        <v>60</v>
      </c>
      <c r="H73" s="5" t="s">
        <v>33</v>
      </c>
      <c r="I73" s="5"/>
      <c r="J73" s="5"/>
      <c r="K73" s="5"/>
      <c r="L73" s="5"/>
    </row>
    <row r="74" ht="15.75" customHeight="1">
      <c r="A74" s="5">
        <v>85.0</v>
      </c>
      <c r="B74" s="5" t="s">
        <v>11</v>
      </c>
      <c r="C74" s="5" t="s">
        <v>160</v>
      </c>
      <c r="D74" s="5" t="s">
        <v>140</v>
      </c>
      <c r="E74" s="5" t="str">
        <f t="shared" si="1"/>
        <v>Stage gate Added to Pre-construction Trello + Move to Stage 3 on LMWF</v>
      </c>
      <c r="F74" s="5" t="s">
        <v>161</v>
      </c>
      <c r="G74" s="5" t="s">
        <v>134</v>
      </c>
      <c r="H74" s="5" t="s">
        <v>33</v>
      </c>
      <c r="I74" s="5"/>
      <c r="J74" s="5"/>
      <c r="K74" s="5"/>
      <c r="L74" s="5"/>
    </row>
    <row r="75" ht="15.75" customHeight="1">
      <c r="A75" s="5">
        <v>86.0</v>
      </c>
      <c r="B75" s="5" t="s">
        <v>11</v>
      </c>
      <c r="C75" s="5" t="s">
        <v>160</v>
      </c>
      <c r="D75" s="5" t="s">
        <v>162</v>
      </c>
      <c r="E75" s="5" t="str">
        <f t="shared" si="1"/>
        <v>Attached lightweight Verandah Engineering Ordered</v>
      </c>
      <c r="F75" s="5" t="s">
        <v>65</v>
      </c>
      <c r="G75" s="5" t="s">
        <v>134</v>
      </c>
      <c r="H75" s="5" t="s">
        <v>33</v>
      </c>
      <c r="I75" s="5"/>
      <c r="J75" s="5">
        <v>14.0</v>
      </c>
      <c r="K75" s="5" t="s">
        <v>154</v>
      </c>
      <c r="L75" s="5"/>
    </row>
    <row r="76" ht="15.75" customHeight="1">
      <c r="A76" s="5">
        <v>87.0</v>
      </c>
      <c r="B76" s="5" t="s">
        <v>11</v>
      </c>
      <c r="C76" s="5" t="s">
        <v>160</v>
      </c>
      <c r="D76" s="5" t="s">
        <v>162</v>
      </c>
      <c r="E76" s="5" t="str">
        <f t="shared" si="1"/>
        <v>Attached lightweight Verandah Engineering Received (14 Days)</v>
      </c>
      <c r="F76" s="5" t="s">
        <v>79</v>
      </c>
      <c r="G76" s="5" t="s">
        <v>134</v>
      </c>
      <c r="H76" s="5" t="s">
        <v>33</v>
      </c>
      <c r="I76" s="5" t="s">
        <v>136</v>
      </c>
      <c r="J76" s="5">
        <v>14.0</v>
      </c>
      <c r="K76" s="5" t="s">
        <v>154</v>
      </c>
      <c r="L76" s="5"/>
    </row>
    <row r="77" ht="15.75" customHeight="1">
      <c r="A77" s="5">
        <v>88.0</v>
      </c>
      <c r="B77" s="5" t="s">
        <v>11</v>
      </c>
      <c r="C77" s="5" t="s">
        <v>160</v>
      </c>
      <c r="D77" s="5" t="s">
        <v>163</v>
      </c>
      <c r="E77" s="5" t="str">
        <f t="shared" si="1"/>
        <v>FCR Ordered</v>
      </c>
      <c r="F77" s="5" t="s">
        <v>65</v>
      </c>
      <c r="G77" s="5" t="s">
        <v>66</v>
      </c>
      <c r="H77" s="5" t="s">
        <v>33</v>
      </c>
      <c r="I77" s="5"/>
      <c r="J77" s="5">
        <v>14.0</v>
      </c>
      <c r="K77" s="5" t="s">
        <v>154</v>
      </c>
      <c r="L77" s="5" t="s">
        <v>164</v>
      </c>
    </row>
    <row r="78" ht="15.75" customHeight="1">
      <c r="A78" s="5">
        <v>89.0</v>
      </c>
      <c r="B78" s="5" t="s">
        <v>11</v>
      </c>
      <c r="C78" s="5" t="s">
        <v>160</v>
      </c>
      <c r="D78" s="5" t="s">
        <v>163</v>
      </c>
      <c r="E78" s="5" t="str">
        <f t="shared" si="1"/>
        <v>FCR Received (14 Days)</v>
      </c>
      <c r="F78" s="5" t="s">
        <v>79</v>
      </c>
      <c r="G78" s="5" t="s">
        <v>66</v>
      </c>
      <c r="H78" s="5" t="s">
        <v>33</v>
      </c>
      <c r="I78" s="5" t="s">
        <v>136</v>
      </c>
      <c r="J78" s="5">
        <v>14.0</v>
      </c>
      <c r="K78" s="5"/>
      <c r="L78" s="5"/>
    </row>
    <row r="79" ht="15.75" customHeight="1">
      <c r="A79" s="5">
        <v>90.0</v>
      </c>
      <c r="B79" s="5" t="s">
        <v>11</v>
      </c>
      <c r="C79" s="5" t="s">
        <v>160</v>
      </c>
      <c r="D79" s="5" t="s">
        <v>163</v>
      </c>
      <c r="E79" s="5" t="str">
        <f t="shared" si="1"/>
        <v>FCR Amendment Ordered</v>
      </c>
      <c r="F79" s="5" t="s">
        <v>70</v>
      </c>
      <c r="G79" s="5" t="s">
        <v>134</v>
      </c>
      <c r="H79" s="5" t="s">
        <v>33</v>
      </c>
      <c r="I79" s="5"/>
      <c r="J79" s="5"/>
      <c r="K79" s="5"/>
      <c r="L79" s="5"/>
    </row>
    <row r="80" ht="15.75" customHeight="1">
      <c r="A80" s="5">
        <v>91.0</v>
      </c>
      <c r="B80" s="5" t="s">
        <v>11</v>
      </c>
      <c r="C80" s="5" t="s">
        <v>160</v>
      </c>
      <c r="D80" s="5" t="s">
        <v>163</v>
      </c>
      <c r="E80" s="5" t="str">
        <f t="shared" si="1"/>
        <v>FCR Amendment Received</v>
      </c>
      <c r="F80" s="5" t="s">
        <v>72</v>
      </c>
      <c r="G80" s="5" t="s">
        <v>134</v>
      </c>
      <c r="H80" s="5" t="s">
        <v>33</v>
      </c>
      <c r="I80" s="5"/>
      <c r="J80" s="5"/>
      <c r="K80" s="5"/>
      <c r="L80" s="5"/>
    </row>
    <row r="81" ht="15.75" customHeight="1">
      <c r="A81" s="5">
        <v>92.0</v>
      </c>
      <c r="B81" s="5" t="s">
        <v>11</v>
      </c>
      <c r="C81" s="5" t="s">
        <v>160</v>
      </c>
      <c r="D81" s="5" t="s">
        <v>163</v>
      </c>
      <c r="E81" s="5" t="str">
        <f t="shared" si="1"/>
        <v>FCR Sent to Gavin</v>
      </c>
      <c r="F81" s="5" t="s">
        <v>165</v>
      </c>
      <c r="G81" s="5" t="s">
        <v>134</v>
      </c>
      <c r="H81" s="5" t="s">
        <v>33</v>
      </c>
      <c r="I81" s="5"/>
      <c r="J81" s="5"/>
      <c r="K81" s="5"/>
      <c r="L81" s="5"/>
    </row>
    <row r="82" ht="15.75" customHeight="1">
      <c r="A82" s="5">
        <v>93.0</v>
      </c>
      <c r="B82" s="5" t="s">
        <v>11</v>
      </c>
      <c r="C82" s="5" t="s">
        <v>160</v>
      </c>
      <c r="D82" s="5" t="s">
        <v>163</v>
      </c>
      <c r="E82" s="5" t="str">
        <f t="shared" si="1"/>
        <v>FCR Received back from Gavin (7 Days)</v>
      </c>
      <c r="F82" s="5" t="s">
        <v>166</v>
      </c>
      <c r="G82" s="5" t="s">
        <v>134</v>
      </c>
      <c r="H82" s="5" t="s">
        <v>33</v>
      </c>
      <c r="I82" s="5"/>
      <c r="J82" s="5">
        <v>7.0</v>
      </c>
      <c r="K82" s="5"/>
      <c r="L82" s="5"/>
    </row>
    <row r="83" ht="15.75" customHeight="1">
      <c r="A83" s="5">
        <v>94.0</v>
      </c>
      <c r="B83" s="5" t="s">
        <v>11</v>
      </c>
      <c r="C83" s="5" t="s">
        <v>160</v>
      </c>
      <c r="D83" s="5" t="s">
        <v>167</v>
      </c>
      <c r="E83" s="5" t="str">
        <f t="shared" si="1"/>
        <v>Electrical/NBN Undergrounds Plan Ordered</v>
      </c>
      <c r="F83" s="5" t="s">
        <v>168</v>
      </c>
      <c r="G83" s="5" t="s">
        <v>134</v>
      </c>
      <c r="H83" s="6" t="s">
        <v>37</v>
      </c>
      <c r="I83" s="5"/>
      <c r="J83" s="5">
        <v>10.0</v>
      </c>
      <c r="K83" s="5" t="s">
        <v>81</v>
      </c>
      <c r="L83" s="5" t="s">
        <v>98</v>
      </c>
    </row>
    <row r="84" ht="15.75" customHeight="1">
      <c r="A84" s="5">
        <v>95.0</v>
      </c>
      <c r="B84" s="5" t="s">
        <v>11</v>
      </c>
      <c r="C84" s="5" t="s">
        <v>160</v>
      </c>
      <c r="D84" s="5" t="s">
        <v>167</v>
      </c>
      <c r="E84" s="5" t="str">
        <f t="shared" si="1"/>
        <v>Electrical/NBN Undergrounds Plan Received (10 Days)</v>
      </c>
      <c r="F84" s="5" t="s">
        <v>169</v>
      </c>
      <c r="G84" s="5" t="s">
        <v>134</v>
      </c>
      <c r="H84" s="6" t="s">
        <v>37</v>
      </c>
      <c r="I84" s="5"/>
      <c r="J84" s="5">
        <v>10.0</v>
      </c>
      <c r="K84" s="5" t="s">
        <v>164</v>
      </c>
      <c r="L84" s="5"/>
    </row>
    <row r="85" ht="15.75" customHeight="1">
      <c r="A85" s="5">
        <v>96.0</v>
      </c>
      <c r="B85" s="5" t="s">
        <v>11</v>
      </c>
      <c r="C85" s="5" t="s">
        <v>160</v>
      </c>
      <c r="D85" s="5" t="s">
        <v>167</v>
      </c>
      <c r="E85" s="5" t="str">
        <f t="shared" si="1"/>
        <v>Electrical/NBN Undergrounds Permit Application Lodged to Council</v>
      </c>
      <c r="F85" s="5" t="s">
        <v>170</v>
      </c>
      <c r="G85" s="5" t="s">
        <v>134</v>
      </c>
      <c r="H85" s="6" t="s">
        <v>37</v>
      </c>
      <c r="I85" s="5"/>
      <c r="J85" s="5">
        <v>10.0</v>
      </c>
      <c r="K85" s="5" t="s">
        <v>164</v>
      </c>
      <c r="L85" s="5"/>
    </row>
    <row r="86" ht="15.75" customHeight="1">
      <c r="A86" s="5">
        <v>97.0</v>
      </c>
      <c r="B86" s="5" t="s">
        <v>11</v>
      </c>
      <c r="C86" s="5" t="s">
        <v>160</v>
      </c>
      <c r="D86" s="5" t="s">
        <v>167</v>
      </c>
      <c r="E86" s="5" t="str">
        <f t="shared" si="1"/>
        <v>Electrical/NBN Undergrounds Permit received</v>
      </c>
      <c r="F86" s="5" t="s">
        <v>171</v>
      </c>
      <c r="G86" s="5" t="s">
        <v>134</v>
      </c>
      <c r="H86" s="6" t="s">
        <v>37</v>
      </c>
      <c r="I86" s="5"/>
      <c r="J86" s="5">
        <v>10.0</v>
      </c>
      <c r="K86" s="5" t="s">
        <v>164</v>
      </c>
      <c r="L86" s="5"/>
    </row>
    <row r="87" ht="15.75" customHeight="1">
      <c r="A87" s="5">
        <v>98.0</v>
      </c>
      <c r="B87" s="5" t="s">
        <v>11</v>
      </c>
      <c r="C87" s="5" t="s">
        <v>160</v>
      </c>
      <c r="D87" s="5" t="s">
        <v>167</v>
      </c>
      <c r="E87" s="5" t="str">
        <f t="shared" si="1"/>
        <v>Electrical/NBN Undergrounds NBN layout sent to CMA's</v>
      </c>
      <c r="F87" s="5" t="s">
        <v>172</v>
      </c>
      <c r="G87" s="5" t="s">
        <v>134</v>
      </c>
      <c r="H87" s="6" t="s">
        <v>37</v>
      </c>
      <c r="I87" s="5"/>
      <c r="J87" s="5">
        <v>10.0</v>
      </c>
      <c r="K87" s="5" t="s">
        <v>164</v>
      </c>
      <c r="L87" s="5"/>
    </row>
    <row r="88" ht="15.75" customHeight="1">
      <c r="A88" s="5">
        <v>99.0</v>
      </c>
      <c r="B88" s="5" t="s">
        <v>11</v>
      </c>
      <c r="C88" s="5" t="s">
        <v>160</v>
      </c>
      <c r="D88" s="5" t="s">
        <v>173</v>
      </c>
      <c r="E88" s="5" t="str">
        <f t="shared" si="1"/>
        <v>Section 221 - Stormwater/Crossover Permits Ordered</v>
      </c>
      <c r="F88" s="5" t="s">
        <v>65</v>
      </c>
      <c r="G88" s="5" t="s">
        <v>134</v>
      </c>
      <c r="H88" s="6" t="s">
        <v>37</v>
      </c>
      <c r="I88" s="5"/>
      <c r="J88" s="5">
        <v>14.0</v>
      </c>
      <c r="K88" s="5" t="s">
        <v>164</v>
      </c>
      <c r="L88" s="5"/>
    </row>
    <row r="89" ht="15.75" customHeight="1">
      <c r="A89" s="5">
        <v>100.0</v>
      </c>
      <c r="B89" s="5" t="s">
        <v>11</v>
      </c>
      <c r="C89" s="5" t="s">
        <v>160</v>
      </c>
      <c r="D89" s="5" t="s">
        <v>173</v>
      </c>
      <c r="E89" s="5" t="str">
        <f t="shared" si="1"/>
        <v>Section 221 - Stormwater/Crossover Permits Received (14 Days)</v>
      </c>
      <c r="F89" s="5" t="s">
        <v>79</v>
      </c>
      <c r="G89" s="5" t="s">
        <v>134</v>
      </c>
      <c r="H89" s="6" t="s">
        <v>37</v>
      </c>
      <c r="I89" s="5" t="s">
        <v>136</v>
      </c>
      <c r="J89" s="5">
        <v>14.0</v>
      </c>
      <c r="K89" s="5" t="s">
        <v>164</v>
      </c>
      <c r="L89" s="5"/>
    </row>
    <row r="90" ht="15.75" customHeight="1">
      <c r="A90" s="5">
        <v>101.0</v>
      </c>
      <c r="B90" s="5" t="s">
        <v>11</v>
      </c>
      <c r="C90" s="5" t="s">
        <v>160</v>
      </c>
      <c r="D90" s="5" t="s">
        <v>174</v>
      </c>
      <c r="E90" s="5" t="str">
        <f t="shared" si="1"/>
        <v>Framing and Trusses Timber Frame / Steel Frame</v>
      </c>
      <c r="F90" s="5" t="s">
        <v>175</v>
      </c>
      <c r="G90" s="5" t="s">
        <v>56</v>
      </c>
      <c r="H90" s="5" t="s">
        <v>33</v>
      </c>
      <c r="I90" s="5"/>
      <c r="J90" s="5"/>
      <c r="K90" s="5"/>
      <c r="L90" s="5"/>
    </row>
    <row r="91" ht="15.75" customHeight="1">
      <c r="A91" s="5">
        <v>102.0</v>
      </c>
      <c r="B91" s="5" t="s">
        <v>11</v>
      </c>
      <c r="C91" s="5" t="s">
        <v>160</v>
      </c>
      <c r="D91" s="5" t="s">
        <v>174</v>
      </c>
      <c r="E91" s="5" t="str">
        <f t="shared" si="1"/>
        <v>Framing and Trusses Ordererd</v>
      </c>
      <c r="F91" s="5" t="s">
        <v>176</v>
      </c>
      <c r="G91" s="5" t="s">
        <v>134</v>
      </c>
      <c r="H91" s="5" t="s">
        <v>33</v>
      </c>
      <c r="I91" s="5"/>
      <c r="J91" s="5"/>
      <c r="K91" s="5"/>
      <c r="L91" s="5"/>
    </row>
    <row r="92" ht="15.75" customHeight="1">
      <c r="A92" s="5">
        <v>103.0</v>
      </c>
      <c r="B92" s="5" t="s">
        <v>11</v>
      </c>
      <c r="C92" s="5" t="s">
        <v>160</v>
      </c>
      <c r="D92" s="5" t="s">
        <v>174</v>
      </c>
      <c r="E92" s="5" t="str">
        <f t="shared" si="1"/>
        <v>Framing and Trusses Received (21 Days)</v>
      </c>
      <c r="F92" s="5" t="s">
        <v>177</v>
      </c>
      <c r="G92" s="5" t="s">
        <v>134</v>
      </c>
      <c r="H92" s="5" t="s">
        <v>33</v>
      </c>
      <c r="I92" s="5" t="s">
        <v>136</v>
      </c>
      <c r="J92" s="5">
        <v>21.0</v>
      </c>
      <c r="K92" s="5"/>
      <c r="L92" s="5"/>
    </row>
    <row r="93" ht="15.75" customHeight="1">
      <c r="A93" s="5">
        <v>104.0</v>
      </c>
      <c r="B93" s="5" t="s">
        <v>11</v>
      </c>
      <c r="C93" s="5" t="s">
        <v>160</v>
      </c>
      <c r="D93" s="5" t="s">
        <v>174</v>
      </c>
      <c r="E93" s="5" t="str">
        <f t="shared" si="1"/>
        <v>Framing and Trusses Amendment Ordered</v>
      </c>
      <c r="F93" s="5" t="s">
        <v>70</v>
      </c>
      <c r="G93" s="5" t="s">
        <v>134</v>
      </c>
      <c r="H93" s="5" t="s">
        <v>33</v>
      </c>
      <c r="I93" s="5"/>
      <c r="J93" s="5"/>
      <c r="K93" s="5"/>
      <c r="L93" s="5"/>
    </row>
    <row r="94" ht="15.75" customHeight="1">
      <c r="A94" s="5">
        <v>105.0</v>
      </c>
      <c r="B94" s="5" t="s">
        <v>11</v>
      </c>
      <c r="C94" s="5" t="s">
        <v>160</v>
      </c>
      <c r="D94" s="5" t="s">
        <v>174</v>
      </c>
      <c r="E94" s="5" t="str">
        <f t="shared" si="1"/>
        <v>Framing and Trusses Amendment Received</v>
      </c>
      <c r="F94" s="5" t="s">
        <v>72</v>
      </c>
      <c r="G94" s="5" t="s">
        <v>134</v>
      </c>
      <c r="H94" s="5" t="s">
        <v>33</v>
      </c>
      <c r="I94" s="5"/>
      <c r="J94" s="5"/>
      <c r="K94" s="5"/>
      <c r="L94" s="5"/>
    </row>
    <row r="95" ht="15.75" customHeight="1">
      <c r="A95" s="5">
        <v>106.0</v>
      </c>
      <c r="B95" s="5" t="s">
        <v>11</v>
      </c>
      <c r="C95" s="5" t="s">
        <v>160</v>
      </c>
      <c r="D95" s="5" t="s">
        <v>178</v>
      </c>
      <c r="E95" s="5" t="str">
        <f t="shared" si="1"/>
        <v>Beam Design Ordered</v>
      </c>
      <c r="F95" s="5" t="s">
        <v>65</v>
      </c>
      <c r="G95" s="5" t="s">
        <v>56</v>
      </c>
      <c r="H95" s="5" t="s">
        <v>33</v>
      </c>
      <c r="I95" s="5"/>
      <c r="J95" s="5">
        <v>7.0</v>
      </c>
      <c r="K95" s="5" t="s">
        <v>179</v>
      </c>
      <c r="L95" s="5" t="s">
        <v>180</v>
      </c>
    </row>
    <row r="96" ht="15.75" customHeight="1">
      <c r="A96" s="5">
        <v>107.0</v>
      </c>
      <c r="B96" s="5" t="s">
        <v>11</v>
      </c>
      <c r="C96" s="5" t="s">
        <v>160</v>
      </c>
      <c r="D96" s="5" t="s">
        <v>178</v>
      </c>
      <c r="E96" s="5" t="str">
        <f t="shared" si="1"/>
        <v>Beam Design Receieved (21 Days)</v>
      </c>
      <c r="F96" s="5" t="s">
        <v>181</v>
      </c>
      <c r="G96" s="5" t="s">
        <v>60</v>
      </c>
      <c r="H96" s="5" t="s">
        <v>33</v>
      </c>
      <c r="I96" s="5"/>
      <c r="J96" s="5">
        <v>21.0</v>
      </c>
      <c r="K96" s="5" t="s">
        <v>179</v>
      </c>
      <c r="L96" s="5" t="s">
        <v>180</v>
      </c>
    </row>
    <row r="97" ht="15.75" customHeight="1">
      <c r="A97" s="5">
        <v>108.0</v>
      </c>
      <c r="B97" s="5" t="s">
        <v>11</v>
      </c>
      <c r="C97" s="5" t="s">
        <v>160</v>
      </c>
      <c r="D97" s="5" t="s">
        <v>178</v>
      </c>
      <c r="E97" s="5" t="str">
        <f t="shared" si="1"/>
        <v>Beam Design Amendment Ordered</v>
      </c>
      <c r="F97" s="5" t="s">
        <v>70</v>
      </c>
      <c r="G97" s="5" t="s">
        <v>60</v>
      </c>
      <c r="H97" s="5" t="s">
        <v>33</v>
      </c>
      <c r="I97" s="5"/>
      <c r="J97" s="5">
        <v>7.0</v>
      </c>
      <c r="K97" s="5" t="s">
        <v>179</v>
      </c>
      <c r="L97" s="5" t="s">
        <v>180</v>
      </c>
    </row>
    <row r="98" ht="15.75" customHeight="1">
      <c r="A98" s="5">
        <v>109.0</v>
      </c>
      <c r="B98" s="5" t="s">
        <v>11</v>
      </c>
      <c r="C98" s="5" t="s">
        <v>160</v>
      </c>
      <c r="D98" s="5" t="s">
        <v>178</v>
      </c>
      <c r="E98" s="5" t="str">
        <f t="shared" si="1"/>
        <v>Beam Design Amendment Received</v>
      </c>
      <c r="F98" s="5" t="s">
        <v>72</v>
      </c>
      <c r="G98" s="5" t="s">
        <v>60</v>
      </c>
      <c r="H98" s="5" t="s">
        <v>33</v>
      </c>
      <c r="I98" s="5"/>
      <c r="J98" s="5">
        <v>7.0</v>
      </c>
      <c r="K98" s="5" t="s">
        <v>179</v>
      </c>
      <c r="L98" s="5" t="s">
        <v>180</v>
      </c>
    </row>
    <row r="99" ht="15.75" customHeight="1">
      <c r="A99" s="5">
        <v>110.0</v>
      </c>
      <c r="B99" s="5" t="s">
        <v>11</v>
      </c>
      <c r="C99" s="5" t="s">
        <v>160</v>
      </c>
      <c r="D99" s="5" t="s">
        <v>182</v>
      </c>
      <c r="E99" s="5" t="str">
        <f t="shared" si="1"/>
        <v>Construction/Timber/Beam Jordan Check Sent to Management</v>
      </c>
      <c r="F99" s="5" t="s">
        <v>183</v>
      </c>
      <c r="G99" s="5" t="s">
        <v>60</v>
      </c>
      <c r="H99" s="5" t="s">
        <v>33</v>
      </c>
      <c r="I99" s="5"/>
      <c r="J99" s="5"/>
      <c r="K99" s="5"/>
      <c r="L99" s="5"/>
    </row>
    <row r="100" ht="15.75" customHeight="1">
      <c r="A100" s="5">
        <v>111.0</v>
      </c>
      <c r="B100" s="5" t="s">
        <v>11</v>
      </c>
      <c r="C100" s="5" t="s">
        <v>160</v>
      </c>
      <c r="D100" s="5" t="s">
        <v>182</v>
      </c>
      <c r="E100" s="5" t="str">
        <f t="shared" si="1"/>
        <v>Construction/Timber/Beam Jordan Check Approved (7 Days)</v>
      </c>
      <c r="F100" s="5" t="s">
        <v>185</v>
      </c>
      <c r="G100" s="5" t="s">
        <v>60</v>
      </c>
      <c r="H100" s="5" t="s">
        <v>33</v>
      </c>
      <c r="I100" s="5"/>
      <c r="J100" s="5">
        <v>7.0</v>
      </c>
      <c r="K100" s="5"/>
      <c r="L100" s="5"/>
    </row>
    <row r="101" ht="15.75" customHeight="1">
      <c r="A101" s="5">
        <v>112.0</v>
      </c>
      <c r="B101" s="5" t="s">
        <v>11</v>
      </c>
      <c r="C101" s="5" t="s">
        <v>160</v>
      </c>
      <c r="D101" s="5" t="s">
        <v>186</v>
      </c>
      <c r="E101" s="5" t="str">
        <f t="shared" si="1"/>
        <v>Selections Selections Consultant</v>
      </c>
      <c r="F101" s="5" t="s">
        <v>187</v>
      </c>
      <c r="G101" s="5" t="s">
        <v>56</v>
      </c>
      <c r="H101" s="5" t="s">
        <v>33</v>
      </c>
      <c r="I101" s="5"/>
      <c r="J101" s="5"/>
      <c r="K101" s="5"/>
      <c r="L101" s="5"/>
    </row>
    <row r="102" ht="15.75" customHeight="1">
      <c r="A102" s="5">
        <v>113.0</v>
      </c>
      <c r="B102" s="5" t="s">
        <v>11</v>
      </c>
      <c r="C102" s="5" t="s">
        <v>160</v>
      </c>
      <c r="D102" s="5" t="s">
        <v>186</v>
      </c>
      <c r="E102" s="5" t="str">
        <f t="shared" si="1"/>
        <v>Selections Selection Type Scheme / Client</v>
      </c>
      <c r="F102" s="5" t="s">
        <v>188</v>
      </c>
      <c r="G102" s="5" t="s">
        <v>56</v>
      </c>
      <c r="H102" s="5" t="s">
        <v>33</v>
      </c>
      <c r="I102" s="5"/>
      <c r="J102" s="5"/>
      <c r="K102" s="5"/>
      <c r="L102" s="5"/>
    </row>
    <row r="103" ht="15.75" customHeight="1">
      <c r="A103" s="5">
        <v>114.0</v>
      </c>
      <c r="B103" s="5" t="s">
        <v>11</v>
      </c>
      <c r="C103" s="5" t="s">
        <v>160</v>
      </c>
      <c r="D103" s="5" t="s">
        <v>186</v>
      </c>
      <c r="E103" s="5" t="str">
        <f t="shared" si="1"/>
        <v>Selections Email Request to selections to contact client</v>
      </c>
      <c r="F103" s="5" t="s">
        <v>189</v>
      </c>
      <c r="G103" s="5" t="s">
        <v>134</v>
      </c>
      <c r="H103" s="5" t="s">
        <v>33</v>
      </c>
      <c r="I103" s="5" t="s">
        <v>186</v>
      </c>
      <c r="J103" s="5"/>
      <c r="K103" s="5"/>
      <c r="L103" s="5"/>
    </row>
    <row r="104" ht="15.75" customHeight="1">
      <c r="A104" s="5">
        <v>115.0</v>
      </c>
      <c r="B104" s="5" t="s">
        <v>11</v>
      </c>
      <c r="C104" s="5" t="s">
        <v>160</v>
      </c>
      <c r="D104" s="5" t="s">
        <v>186</v>
      </c>
      <c r="E104" s="5" t="str">
        <f t="shared" si="1"/>
        <v>Selections Gallery Appointment Date (21 Days)</v>
      </c>
      <c r="F104" s="5" t="s">
        <v>190</v>
      </c>
      <c r="G104" s="5" t="s">
        <v>134</v>
      </c>
      <c r="H104" s="5" t="s">
        <v>33</v>
      </c>
      <c r="I104" s="5"/>
      <c r="J104" s="5">
        <v>21.0</v>
      </c>
      <c r="K104" s="5"/>
      <c r="L104" s="5"/>
    </row>
    <row r="105" ht="15.75" customHeight="1">
      <c r="A105" s="5">
        <v>116.0</v>
      </c>
      <c r="B105" s="5" t="s">
        <v>11</v>
      </c>
      <c r="C105" s="5" t="s">
        <v>160</v>
      </c>
      <c r="D105" s="5" t="s">
        <v>186</v>
      </c>
      <c r="E105" s="5" t="str">
        <f t="shared" si="1"/>
        <v>Selections Selection Variation signed</v>
      </c>
      <c r="F105" s="5" t="s">
        <v>191</v>
      </c>
      <c r="G105" s="5" t="s">
        <v>134</v>
      </c>
      <c r="H105" s="5" t="s">
        <v>33</v>
      </c>
      <c r="I105" s="5"/>
      <c r="J105" s="5"/>
      <c r="K105" s="5"/>
      <c r="L105" s="5"/>
    </row>
    <row r="106" ht="15.75" customHeight="1">
      <c r="A106" s="5">
        <v>117.0</v>
      </c>
      <c r="B106" s="5" t="s">
        <v>11</v>
      </c>
      <c r="C106" s="5" t="s">
        <v>160</v>
      </c>
      <c r="D106" s="5" t="s">
        <v>186</v>
      </c>
      <c r="E106" s="5" t="str">
        <f t="shared" si="1"/>
        <v>Selections Selections booklet signed (10 Days)</v>
      </c>
      <c r="F106" s="5" t="s">
        <v>192</v>
      </c>
      <c r="G106" s="5" t="s">
        <v>134</v>
      </c>
      <c r="H106" s="5" t="s">
        <v>33</v>
      </c>
      <c r="I106" s="5"/>
      <c r="J106" s="5">
        <v>10.0</v>
      </c>
      <c r="K106" s="5" t="s">
        <v>193</v>
      </c>
      <c r="L106" s="5" t="s">
        <v>194</v>
      </c>
    </row>
    <row r="107" ht="15.75" customHeight="1">
      <c r="A107" s="5">
        <v>118.0</v>
      </c>
      <c r="B107" s="5" t="s">
        <v>11</v>
      </c>
      <c r="C107" s="5" t="s">
        <v>160</v>
      </c>
      <c r="D107" s="5" t="s">
        <v>195</v>
      </c>
      <c r="E107" s="5" t="str">
        <f t="shared" si="1"/>
        <v>1st Site Inspection Ordered</v>
      </c>
      <c r="F107" s="5" t="s">
        <v>65</v>
      </c>
      <c r="G107" s="5" t="s">
        <v>134</v>
      </c>
      <c r="H107" s="6" t="s">
        <v>37</v>
      </c>
      <c r="I107" s="5"/>
      <c r="J107" s="5">
        <v>10.0</v>
      </c>
      <c r="K107" s="5" t="s">
        <v>196</v>
      </c>
      <c r="L107" s="5" t="s">
        <v>197</v>
      </c>
    </row>
    <row r="108" ht="15.75" customHeight="1">
      <c r="A108" s="5">
        <v>119.0</v>
      </c>
      <c r="B108" s="5" t="s">
        <v>11</v>
      </c>
      <c r="C108" s="5" t="s">
        <v>160</v>
      </c>
      <c r="D108" s="5" t="s">
        <v>195</v>
      </c>
      <c r="E108" s="5" t="str">
        <f t="shared" si="1"/>
        <v>1st Site Inspection Back (14 Days)</v>
      </c>
      <c r="F108" s="5" t="s">
        <v>198</v>
      </c>
      <c r="G108" s="5" t="s">
        <v>134</v>
      </c>
      <c r="H108" s="6" t="s">
        <v>37</v>
      </c>
      <c r="I108" s="5"/>
      <c r="J108" s="5">
        <v>14.0</v>
      </c>
      <c r="K108" s="5" t="s">
        <v>196</v>
      </c>
      <c r="L108" s="5" t="s">
        <v>197</v>
      </c>
    </row>
    <row r="109" ht="15.75" customHeight="1">
      <c r="A109" s="5">
        <v>120.0</v>
      </c>
      <c r="B109" s="5" t="s">
        <v>11</v>
      </c>
      <c r="C109" s="5" t="s">
        <v>160</v>
      </c>
      <c r="D109" s="5" t="s">
        <v>195</v>
      </c>
      <c r="E109" s="5" t="str">
        <f t="shared" si="1"/>
        <v>1st Site Inspection Items Actioned (5 Days)</v>
      </c>
      <c r="F109" s="5" t="s">
        <v>199</v>
      </c>
      <c r="G109" s="5" t="s">
        <v>134</v>
      </c>
      <c r="H109" s="6" t="s">
        <v>37</v>
      </c>
      <c r="I109" s="5"/>
      <c r="J109" s="5">
        <v>5.0</v>
      </c>
      <c r="K109" s="5" t="s">
        <v>200</v>
      </c>
      <c r="L109" s="5"/>
    </row>
    <row r="110" ht="15.75" customHeight="1">
      <c r="A110" s="5">
        <v>121.0</v>
      </c>
      <c r="B110" s="5" t="s">
        <v>11</v>
      </c>
      <c r="C110" s="5" t="s">
        <v>160</v>
      </c>
      <c r="D110" s="5" t="s">
        <v>201</v>
      </c>
      <c r="E110" s="5" t="str">
        <f t="shared" si="1"/>
        <v>Retaining, Fencing &amp; BOB Retaining In Contract?</v>
      </c>
      <c r="F110" s="5" t="s">
        <v>202</v>
      </c>
      <c r="G110" s="5" t="s">
        <v>134</v>
      </c>
      <c r="H110" s="6" t="s">
        <v>37</v>
      </c>
      <c r="I110" s="5"/>
      <c r="J110" s="5"/>
      <c r="K110" s="5"/>
      <c r="L110" s="5"/>
    </row>
    <row r="111" ht="15.75" customHeight="1">
      <c r="A111" s="5">
        <v>122.0</v>
      </c>
      <c r="B111" s="5" t="s">
        <v>11</v>
      </c>
      <c r="C111" s="5" t="s">
        <v>160</v>
      </c>
      <c r="D111" s="5" t="s">
        <v>201</v>
      </c>
      <c r="E111" s="5" t="str">
        <f t="shared" si="1"/>
        <v>Retaining, Fencing &amp; BOB Retaining Required Before Or During Build</v>
      </c>
      <c r="F111" s="5" t="s">
        <v>203</v>
      </c>
      <c r="G111" s="5" t="s">
        <v>134</v>
      </c>
      <c r="H111" s="6" t="s">
        <v>37</v>
      </c>
      <c r="I111" s="5"/>
      <c r="J111" s="5"/>
      <c r="K111" s="5"/>
      <c r="L111" s="5"/>
    </row>
    <row r="112" ht="15.75" customHeight="1">
      <c r="A112" s="5">
        <v>123.0</v>
      </c>
      <c r="B112" s="5" t="s">
        <v>11</v>
      </c>
      <c r="C112" s="5" t="s">
        <v>160</v>
      </c>
      <c r="D112" s="5" t="s">
        <v>201</v>
      </c>
      <c r="E112" s="5" t="str">
        <f t="shared" si="1"/>
        <v>Retaining, Fencing &amp; BOB Fencing In Contract?</v>
      </c>
      <c r="F112" s="5" t="s">
        <v>204</v>
      </c>
      <c r="G112" s="5" t="s">
        <v>60</v>
      </c>
      <c r="H112" s="6" t="s">
        <v>37</v>
      </c>
      <c r="I112" s="5"/>
      <c r="J112" s="5"/>
      <c r="K112" s="5"/>
      <c r="L112" s="5"/>
    </row>
    <row r="113" ht="15.75" customHeight="1">
      <c r="A113" s="5">
        <v>124.0</v>
      </c>
      <c r="B113" s="5" t="s">
        <v>11</v>
      </c>
      <c r="C113" s="5" t="s">
        <v>160</v>
      </c>
      <c r="D113" s="5" t="s">
        <v>201</v>
      </c>
      <c r="E113" s="5" t="str">
        <f t="shared" si="1"/>
        <v>Retaining, Fencing &amp; BOB BOB Sent</v>
      </c>
      <c r="F113" s="5" t="s">
        <v>205</v>
      </c>
      <c r="G113" s="5" t="s">
        <v>134</v>
      </c>
      <c r="H113" s="6" t="s">
        <v>37</v>
      </c>
      <c r="I113" s="5"/>
      <c r="J113" s="5"/>
      <c r="K113" s="5"/>
      <c r="L113" s="5"/>
    </row>
    <row r="114" ht="15.75" customHeight="1">
      <c r="A114" s="5">
        <v>125.0</v>
      </c>
      <c r="B114" s="5" t="s">
        <v>11</v>
      </c>
      <c r="C114" s="5" t="s">
        <v>160</v>
      </c>
      <c r="D114" s="5" t="s">
        <v>201</v>
      </c>
      <c r="E114" s="5" t="str">
        <f t="shared" si="1"/>
        <v>Retaining, Fencing &amp; BOB BOB Signed + Contact Details (30 Days)</v>
      </c>
      <c r="F114" s="5" t="s">
        <v>207</v>
      </c>
      <c r="G114" s="5" t="s">
        <v>134</v>
      </c>
      <c r="H114" s="6" t="s">
        <v>37</v>
      </c>
      <c r="I114" s="5"/>
      <c r="J114" s="5">
        <v>30.0</v>
      </c>
      <c r="K114" s="5"/>
      <c r="L114" s="5"/>
    </row>
    <row r="115" ht="15.75" customHeight="1">
      <c r="A115" s="5">
        <v>126.0</v>
      </c>
      <c r="B115" s="5" t="s">
        <v>11</v>
      </c>
      <c r="C115" s="5" t="s">
        <v>160</v>
      </c>
      <c r="D115" s="5" t="s">
        <v>201</v>
      </c>
      <c r="E115" s="5" t="str">
        <f t="shared" si="1"/>
        <v>Retaining, Fencing &amp; BOB Fencing Notices Issued to client</v>
      </c>
      <c r="F115" s="5" t="s">
        <v>209</v>
      </c>
      <c r="G115" s="5" t="s">
        <v>134</v>
      </c>
      <c r="H115" s="6" t="s">
        <v>37</v>
      </c>
      <c r="I115" s="5"/>
      <c r="J115" s="5">
        <v>7.0</v>
      </c>
      <c r="K115" s="5" t="s">
        <v>211</v>
      </c>
      <c r="L115" s="5"/>
    </row>
    <row r="116" ht="15.75" customHeight="1">
      <c r="A116" s="5">
        <v>127.0</v>
      </c>
      <c r="B116" s="5" t="s">
        <v>11</v>
      </c>
      <c r="C116" s="5" t="s">
        <v>160</v>
      </c>
      <c r="D116" s="5" t="s">
        <v>201</v>
      </c>
      <c r="E116" s="5" t="str">
        <f t="shared" si="1"/>
        <v>Retaining, Fencing &amp; BOB Fencing Sent Via Registered Mail</v>
      </c>
      <c r="F116" s="5" t="s">
        <v>212</v>
      </c>
      <c r="G116" s="5" t="s">
        <v>134</v>
      </c>
      <c r="H116" s="6" t="s">
        <v>37</v>
      </c>
      <c r="I116" s="5"/>
      <c r="J116" s="5"/>
      <c r="K116" s="5"/>
      <c r="L116" s="5"/>
    </row>
    <row r="117" ht="15.75" customHeight="1">
      <c r="A117" s="5">
        <v>128.0</v>
      </c>
      <c r="B117" s="5" t="s">
        <v>11</v>
      </c>
      <c r="C117" s="5" t="s">
        <v>160</v>
      </c>
      <c r="D117" s="5" t="s">
        <v>201</v>
      </c>
      <c r="E117" s="5" t="str">
        <f t="shared" si="1"/>
        <v>Retaining, Fencing &amp; BOB Registered Mail Collected</v>
      </c>
      <c r="F117" s="5" t="s">
        <v>214</v>
      </c>
      <c r="G117" s="5" t="s">
        <v>134</v>
      </c>
      <c r="H117" s="6" t="s">
        <v>37</v>
      </c>
      <c r="I117" s="5"/>
      <c r="J117" s="5"/>
      <c r="K117" s="5"/>
      <c r="L117" s="5"/>
    </row>
    <row r="118" ht="15.75" customHeight="1">
      <c r="A118" s="5">
        <v>129.0</v>
      </c>
      <c r="B118" s="5" t="s">
        <v>11</v>
      </c>
      <c r="C118" s="5" t="s">
        <v>160</v>
      </c>
      <c r="D118" s="5" t="s">
        <v>201</v>
      </c>
      <c r="E118" s="5" t="str">
        <f t="shared" si="1"/>
        <v>Retaining, Fencing &amp; BOB 30 day overdue letter</v>
      </c>
      <c r="F118" s="5" t="s">
        <v>216</v>
      </c>
      <c r="G118" s="5" t="s">
        <v>134</v>
      </c>
      <c r="H118" s="6" t="s">
        <v>37</v>
      </c>
      <c r="I118" s="5"/>
      <c r="J118" s="5"/>
      <c r="K118" s="5"/>
      <c r="L118" s="5"/>
    </row>
    <row r="119" ht="15.75" customHeight="1">
      <c r="A119" s="5">
        <v>130.0</v>
      </c>
      <c r="B119" s="5" t="s">
        <v>11</v>
      </c>
      <c r="C119" s="5" t="s">
        <v>160</v>
      </c>
      <c r="D119" s="5" t="s">
        <v>201</v>
      </c>
      <c r="E119" s="5" t="str">
        <f t="shared" si="1"/>
        <v>Retaining, Fencing &amp; BOB Cross Notice Received / Notes</v>
      </c>
      <c r="F119" s="5" t="s">
        <v>218</v>
      </c>
      <c r="G119" s="5" t="s">
        <v>134</v>
      </c>
      <c r="H119" s="6" t="s">
        <v>37</v>
      </c>
      <c r="I119" s="5"/>
      <c r="J119" s="5"/>
      <c r="K119" s="5"/>
      <c r="L119" s="5"/>
    </row>
    <row r="120" ht="15.75" customHeight="1">
      <c r="A120" s="5">
        <v>131.0</v>
      </c>
      <c r="B120" s="5" t="s">
        <v>11</v>
      </c>
      <c r="C120" s="5" t="s">
        <v>160</v>
      </c>
      <c r="D120" s="5" t="s">
        <v>201</v>
      </c>
      <c r="E120" s="5" t="str">
        <f t="shared" si="1"/>
        <v>Retaining, Fencing &amp; BOB Cross notice responded to (7 Days)</v>
      </c>
      <c r="F120" s="5" t="s">
        <v>220</v>
      </c>
      <c r="G120" s="5" t="s">
        <v>134</v>
      </c>
      <c r="H120" s="6" t="s">
        <v>37</v>
      </c>
      <c r="I120" s="5"/>
      <c r="J120" s="5">
        <v>7.0</v>
      </c>
      <c r="K120" s="5"/>
      <c r="L120" s="5"/>
    </row>
    <row r="121" ht="15.75" customHeight="1">
      <c r="A121" s="5">
        <v>132.0</v>
      </c>
      <c r="B121" s="5" t="s">
        <v>11</v>
      </c>
      <c r="C121" s="5" t="s">
        <v>160</v>
      </c>
      <c r="D121" s="5" t="s">
        <v>201</v>
      </c>
      <c r="E121" s="5" t="str">
        <f t="shared" si="1"/>
        <v>Retaining, Fencing &amp; BOB Fencing Notices Completed + Saved in folder (14 Days)</v>
      </c>
      <c r="F121" s="5" t="s">
        <v>222</v>
      </c>
      <c r="G121" s="5" t="s">
        <v>134</v>
      </c>
      <c r="H121" s="6" t="s">
        <v>37</v>
      </c>
      <c r="I121" s="5"/>
      <c r="J121" s="5">
        <v>14.0</v>
      </c>
      <c r="K121" s="5"/>
      <c r="L121" s="5"/>
    </row>
    <row r="122" ht="15.75" customHeight="1">
      <c r="A122" s="5">
        <v>133.0</v>
      </c>
      <c r="B122" s="5" t="s">
        <v>11</v>
      </c>
      <c r="C122" s="5" t="s">
        <v>160</v>
      </c>
      <c r="D122" s="5" t="s">
        <v>206</v>
      </c>
      <c r="E122" s="5" t="str">
        <f t="shared" si="1"/>
        <v>SA Water SA Water Docs proposed location Plan ordered</v>
      </c>
      <c r="F122" s="5" t="s">
        <v>223</v>
      </c>
      <c r="G122" s="5" t="s">
        <v>134</v>
      </c>
      <c r="H122" s="6" t="s">
        <v>37</v>
      </c>
      <c r="I122" s="5"/>
      <c r="J122" s="5"/>
      <c r="K122" s="5"/>
      <c r="L122" s="5"/>
    </row>
    <row r="123" ht="15.75" customHeight="1">
      <c r="A123" s="5">
        <v>134.0</v>
      </c>
      <c r="B123" s="5" t="s">
        <v>11</v>
      </c>
      <c r="C123" s="5" t="s">
        <v>160</v>
      </c>
      <c r="D123" s="5" t="s">
        <v>206</v>
      </c>
      <c r="E123" s="5" t="str">
        <f t="shared" si="1"/>
        <v>SA Water Received (7 Days)</v>
      </c>
      <c r="F123" s="5" t="s">
        <v>132</v>
      </c>
      <c r="G123" s="5" t="s">
        <v>134</v>
      </c>
      <c r="H123" s="6" t="s">
        <v>37</v>
      </c>
      <c r="I123" s="5" t="s">
        <v>136</v>
      </c>
      <c r="J123" s="5">
        <v>7.0</v>
      </c>
      <c r="K123" s="5"/>
      <c r="L123" s="5"/>
    </row>
    <row r="124" ht="15.75" customHeight="1">
      <c r="A124" s="5">
        <v>135.0</v>
      </c>
      <c r="B124" s="5" t="s">
        <v>11</v>
      </c>
      <c r="C124" s="5" t="s">
        <v>160</v>
      </c>
      <c r="D124" s="5" t="s">
        <v>206</v>
      </c>
      <c r="E124" s="5" t="str">
        <f t="shared" si="1"/>
        <v>SA Water Cross check SA Water Locations against Working Drawings</v>
      </c>
      <c r="F124" s="5" t="s">
        <v>226</v>
      </c>
      <c r="G124" s="5" t="s">
        <v>134</v>
      </c>
      <c r="H124" s="6" t="s">
        <v>37</v>
      </c>
      <c r="I124" s="5"/>
      <c r="J124" s="5"/>
      <c r="K124" s="5"/>
      <c r="L124" s="5"/>
    </row>
    <row r="125" ht="15.75" customHeight="1">
      <c r="A125" s="5">
        <v>136.0</v>
      </c>
      <c r="B125" s="5" t="s">
        <v>11</v>
      </c>
      <c r="C125" s="5" t="s">
        <v>160</v>
      </c>
      <c r="D125" s="5" t="s">
        <v>206</v>
      </c>
      <c r="E125" s="5" t="str">
        <f t="shared" si="1"/>
        <v>SA Water Invoice Received</v>
      </c>
      <c r="F125" s="5" t="s">
        <v>228</v>
      </c>
      <c r="G125" s="5" t="s">
        <v>134</v>
      </c>
      <c r="H125" s="6" t="s">
        <v>37</v>
      </c>
      <c r="I125" s="5"/>
      <c r="J125" s="5"/>
      <c r="K125" s="5"/>
      <c r="L125" s="5"/>
    </row>
    <row r="126" ht="15.75" customHeight="1">
      <c r="A126" s="5">
        <v>137.0</v>
      </c>
      <c r="B126" s="5" t="s">
        <v>11</v>
      </c>
      <c r="C126" s="5" t="s">
        <v>160</v>
      </c>
      <c r="D126" s="5" t="s">
        <v>206</v>
      </c>
      <c r="E126" s="5" t="str">
        <f t="shared" si="1"/>
        <v>SA Water Invoice paid (2 Days)</v>
      </c>
      <c r="F126" s="5" t="s">
        <v>231</v>
      </c>
      <c r="G126" s="5" t="s">
        <v>134</v>
      </c>
      <c r="H126" s="6" t="s">
        <v>37</v>
      </c>
      <c r="I126" s="5"/>
      <c r="J126" s="5">
        <v>2.0</v>
      </c>
      <c r="K126" s="5" t="s">
        <v>232</v>
      </c>
      <c r="L126" s="5"/>
    </row>
    <row r="127" ht="15.75" customHeight="1">
      <c r="A127" s="5">
        <v>138.0</v>
      </c>
      <c r="B127" s="5" t="s">
        <v>11</v>
      </c>
      <c r="C127" s="5" t="s">
        <v>160</v>
      </c>
      <c r="D127" s="5" t="s">
        <v>206</v>
      </c>
      <c r="E127" s="5" t="str">
        <f t="shared" si="1"/>
        <v>SA Water Confirmation of SA Water Meters &amp; Sewer Connection on Site</v>
      </c>
      <c r="F127" s="5" t="s">
        <v>234</v>
      </c>
      <c r="G127" s="5" t="s">
        <v>134</v>
      </c>
      <c r="H127" s="6" t="s">
        <v>37</v>
      </c>
      <c r="I127" s="5"/>
      <c r="J127" s="5"/>
      <c r="K127" s="5"/>
      <c r="L127" s="5"/>
    </row>
    <row r="128" ht="15.75" customHeight="1">
      <c r="A128" s="5">
        <v>139.0</v>
      </c>
      <c r="B128" s="5" t="s">
        <v>11</v>
      </c>
      <c r="C128" s="5" t="s">
        <v>160</v>
      </c>
      <c r="D128" s="5" t="s">
        <v>236</v>
      </c>
      <c r="E128" s="5" t="str">
        <f t="shared" si="1"/>
        <v>Construction Price Check (CPC) Sheet requested Log on trello</v>
      </c>
      <c r="F128" s="5" t="s">
        <v>237</v>
      </c>
      <c r="G128" s="5" t="s">
        <v>134</v>
      </c>
      <c r="H128" s="5" t="s">
        <v>33</v>
      </c>
      <c r="I128" s="5"/>
      <c r="J128" s="5"/>
      <c r="K128" s="5"/>
      <c r="L128" s="5"/>
    </row>
    <row r="129" ht="15.75" customHeight="1">
      <c r="A129" s="5">
        <v>140.0</v>
      </c>
      <c r="B129" s="5" t="s">
        <v>11</v>
      </c>
      <c r="C129" s="5" t="s">
        <v>160</v>
      </c>
      <c r="D129" s="5" t="s">
        <v>236</v>
      </c>
      <c r="E129" s="5" t="str">
        <f t="shared" si="1"/>
        <v>Construction Price Check (CPC) Sheet requested received (14 Days)</v>
      </c>
      <c r="F129" s="5" t="s">
        <v>240</v>
      </c>
      <c r="G129" s="5" t="s">
        <v>134</v>
      </c>
      <c r="H129" s="5" t="s">
        <v>33</v>
      </c>
      <c r="I129" s="5" t="s">
        <v>136</v>
      </c>
      <c r="J129" s="5">
        <v>14.0</v>
      </c>
      <c r="K129" s="5"/>
      <c r="L129" s="5"/>
    </row>
    <row r="130" ht="15.75" customHeight="1">
      <c r="A130" s="5">
        <v>141.0</v>
      </c>
      <c r="B130" s="5" t="s">
        <v>11</v>
      </c>
      <c r="C130" s="5" t="s">
        <v>160</v>
      </c>
      <c r="D130" s="5" t="s">
        <v>236</v>
      </c>
      <c r="E130" s="5" t="str">
        <f t="shared" si="1"/>
        <v>Construction Price Check (CPC) Sheet requested sent to Gary</v>
      </c>
      <c r="F130" s="5" t="s">
        <v>243</v>
      </c>
      <c r="G130" s="5" t="s">
        <v>134</v>
      </c>
      <c r="H130" s="5" t="s">
        <v>33</v>
      </c>
      <c r="I130" s="5"/>
      <c r="J130" s="5"/>
      <c r="K130" s="5"/>
      <c r="L130" s="5"/>
    </row>
    <row r="131" ht="15.75" customHeight="1">
      <c r="A131" s="5">
        <v>142.0</v>
      </c>
      <c r="B131" s="5" t="s">
        <v>11</v>
      </c>
      <c r="C131" s="5" t="s">
        <v>160</v>
      </c>
      <c r="D131" s="5" t="s">
        <v>236</v>
      </c>
      <c r="E131" s="5" t="str">
        <f t="shared" si="1"/>
        <v>Construction Price Check (CPC) Sheet requested Gary communicate to client /meeting (3 Days)</v>
      </c>
      <c r="F131" s="5" t="s">
        <v>244</v>
      </c>
      <c r="G131" s="5" t="s">
        <v>134</v>
      </c>
      <c r="H131" s="5" t="s">
        <v>33</v>
      </c>
      <c r="I131" s="5"/>
      <c r="J131" s="5">
        <v>3.0</v>
      </c>
      <c r="K131" s="5"/>
      <c r="L131" s="5"/>
    </row>
    <row r="132" ht="15.75" customHeight="1">
      <c r="A132" s="5">
        <v>143.0</v>
      </c>
      <c r="B132" s="5" t="s">
        <v>11</v>
      </c>
      <c r="C132" s="5" t="s">
        <v>160</v>
      </c>
      <c r="D132" s="5" t="s">
        <v>236</v>
      </c>
      <c r="E132" s="5" t="str">
        <f t="shared" si="1"/>
        <v>Construction Price Check (CPC) Sheet requested Variation issued?</v>
      </c>
      <c r="F132" s="5" t="s">
        <v>245</v>
      </c>
      <c r="G132" s="5" t="s">
        <v>134</v>
      </c>
      <c r="H132" s="5" t="s">
        <v>33</v>
      </c>
      <c r="I132" s="5"/>
      <c r="J132" s="5"/>
      <c r="K132" s="5"/>
      <c r="L132" s="5"/>
    </row>
    <row r="133" ht="15.75" customHeight="1">
      <c r="A133" s="5">
        <v>144.0</v>
      </c>
      <c r="B133" s="5" t="s">
        <v>11</v>
      </c>
      <c r="C133" s="5" t="s">
        <v>160</v>
      </c>
      <c r="D133" s="5" t="s">
        <v>236</v>
      </c>
      <c r="E133" s="5" t="str">
        <f t="shared" si="1"/>
        <v>Construction Price Check (CPC) Sheet requested Variation Signed / Approved (14 Days)</v>
      </c>
      <c r="F133" s="5" t="s">
        <v>246</v>
      </c>
      <c r="G133" s="5" t="s">
        <v>134</v>
      </c>
      <c r="H133" s="5" t="s">
        <v>33</v>
      </c>
      <c r="I133" s="5"/>
      <c r="J133" s="5">
        <v>14.0</v>
      </c>
      <c r="K133" s="5"/>
      <c r="L133" s="5"/>
    </row>
    <row r="134" ht="15.75" customHeight="1">
      <c r="A134" s="5">
        <v>145.0</v>
      </c>
      <c r="B134" s="5" t="s">
        <v>11</v>
      </c>
      <c r="C134" s="5" t="s">
        <v>210</v>
      </c>
      <c r="D134" s="5" t="s">
        <v>210</v>
      </c>
      <c r="E134" s="5" t="str">
        <f t="shared" si="1"/>
        <v>Variation Check contract Vegetation Site Scrape</v>
      </c>
      <c r="F134" s="5" t="s">
        <v>247</v>
      </c>
      <c r="G134" s="5" t="s">
        <v>134</v>
      </c>
      <c r="H134" s="6" t="s">
        <v>37</v>
      </c>
      <c r="I134" s="5"/>
      <c r="J134" s="5"/>
      <c r="K134" s="5"/>
      <c r="L134" s="5"/>
    </row>
    <row r="135" ht="15.75" customHeight="1">
      <c r="A135" s="5">
        <v>146.0</v>
      </c>
      <c r="B135" s="5" t="s">
        <v>11</v>
      </c>
      <c r="C135" s="5" t="s">
        <v>210</v>
      </c>
      <c r="D135" s="5" t="s">
        <v>210</v>
      </c>
      <c r="E135" s="5" t="str">
        <f t="shared" si="1"/>
        <v>Variation Required Yes/No</v>
      </c>
      <c r="F135" s="5" t="s">
        <v>248</v>
      </c>
      <c r="G135" s="5" t="s">
        <v>134</v>
      </c>
      <c r="H135" s="5" t="s">
        <v>33</v>
      </c>
      <c r="I135" s="5"/>
      <c r="J135" s="5"/>
      <c r="K135" s="5"/>
      <c r="L135" s="5"/>
    </row>
    <row r="136" ht="15.75" customHeight="1">
      <c r="A136" s="5">
        <v>147.0</v>
      </c>
      <c r="B136" s="5" t="s">
        <v>11</v>
      </c>
      <c r="C136" s="5" t="s">
        <v>210</v>
      </c>
      <c r="D136" s="5" t="s">
        <v>210</v>
      </c>
      <c r="E136" s="5" t="str">
        <f t="shared" si="1"/>
        <v>Variation Issued</v>
      </c>
      <c r="F136" s="5" t="s">
        <v>131</v>
      </c>
      <c r="G136" s="5" t="s">
        <v>134</v>
      </c>
      <c r="H136" s="5" t="s">
        <v>33</v>
      </c>
      <c r="I136" s="5"/>
      <c r="J136" s="5">
        <v>3.0</v>
      </c>
      <c r="K136" s="5"/>
      <c r="L136" s="5" t="s">
        <v>50</v>
      </c>
    </row>
    <row r="137" ht="15.75" customHeight="1">
      <c r="A137" s="5">
        <v>148.0</v>
      </c>
      <c r="B137" s="5" t="s">
        <v>11</v>
      </c>
      <c r="C137" s="5" t="s">
        <v>210</v>
      </c>
      <c r="D137" s="5" t="s">
        <v>210</v>
      </c>
      <c r="E137" s="5" t="str">
        <f t="shared" si="1"/>
        <v>Variation Received (5 Days)</v>
      </c>
      <c r="F137" s="5" t="s">
        <v>249</v>
      </c>
      <c r="G137" s="5" t="s">
        <v>134</v>
      </c>
      <c r="H137" s="5" t="s">
        <v>33</v>
      </c>
      <c r="I137" s="5" t="s">
        <v>136</v>
      </c>
      <c r="J137" s="5">
        <v>5.0</v>
      </c>
      <c r="K137" s="5"/>
      <c r="L137" s="5"/>
    </row>
    <row r="138" ht="15.75" customHeight="1">
      <c r="A138" s="5">
        <v>149.0</v>
      </c>
      <c r="B138" s="5" t="s">
        <v>11</v>
      </c>
      <c r="C138" s="5" t="s">
        <v>210</v>
      </c>
      <c r="D138" s="5" t="s">
        <v>250</v>
      </c>
      <c r="E138" s="5" t="str">
        <f t="shared" si="1"/>
        <v>BRC/KBS Lodged</v>
      </c>
      <c r="F138" s="5" t="s">
        <v>115</v>
      </c>
      <c r="G138" s="5" t="s">
        <v>134</v>
      </c>
      <c r="H138" s="5" t="s">
        <v>33</v>
      </c>
      <c r="I138" s="5"/>
      <c r="J138" s="5">
        <v>21.0</v>
      </c>
      <c r="K138" s="5" t="s">
        <v>251</v>
      </c>
      <c r="L138" s="5" t="s">
        <v>252</v>
      </c>
    </row>
    <row r="139" ht="15.75" customHeight="1">
      <c r="A139" s="5">
        <v>150.0</v>
      </c>
      <c r="B139" s="5" t="s">
        <v>11</v>
      </c>
      <c r="C139" s="5" t="s">
        <v>160</v>
      </c>
      <c r="D139" s="5" t="s">
        <v>250</v>
      </c>
      <c r="E139" s="5" t="str">
        <f t="shared" si="1"/>
        <v>BRC/KBS Approved (28 Days)</v>
      </c>
      <c r="F139" s="5" t="s">
        <v>121</v>
      </c>
      <c r="G139" s="5" t="s">
        <v>134</v>
      </c>
      <c r="H139" s="5" t="s">
        <v>33</v>
      </c>
      <c r="I139" s="5"/>
      <c r="J139" s="5">
        <v>28.0</v>
      </c>
      <c r="K139" s="5"/>
      <c r="L139" s="5"/>
    </row>
    <row r="140" ht="15.75" customHeight="1">
      <c r="A140" s="5">
        <v>151.0</v>
      </c>
      <c r="B140" s="5" t="s">
        <v>11</v>
      </c>
      <c r="C140" s="5" t="s">
        <v>160</v>
      </c>
      <c r="D140" s="5" t="s">
        <v>250</v>
      </c>
      <c r="E140" s="5" t="str">
        <f t="shared" si="1"/>
        <v>BRC/KBS RFI Received</v>
      </c>
      <c r="F140" s="5" t="s">
        <v>122</v>
      </c>
      <c r="G140" s="5" t="s">
        <v>134</v>
      </c>
      <c r="H140" s="5" t="s">
        <v>33</v>
      </c>
      <c r="I140" s="5" t="s">
        <v>71</v>
      </c>
      <c r="J140" s="5"/>
      <c r="K140" s="5"/>
      <c r="L140" s="5"/>
    </row>
    <row r="141" ht="15.75" customHeight="1">
      <c r="A141" s="5">
        <v>152.0</v>
      </c>
      <c r="B141" s="5" t="s">
        <v>11</v>
      </c>
      <c r="C141" s="5" t="s">
        <v>160</v>
      </c>
      <c r="D141" s="5" t="s">
        <v>250</v>
      </c>
      <c r="E141" s="5" t="str">
        <f t="shared" si="1"/>
        <v>BRC/KBS RFI Responded (14 Days)</v>
      </c>
      <c r="F141" s="5" t="s">
        <v>123</v>
      </c>
      <c r="G141" s="5" t="s">
        <v>134</v>
      </c>
      <c r="H141" s="5" t="s">
        <v>33</v>
      </c>
      <c r="I141" s="5" t="s">
        <v>71</v>
      </c>
      <c r="J141" s="5">
        <v>14.0</v>
      </c>
      <c r="K141" s="5"/>
      <c r="L141" s="5"/>
    </row>
    <row r="142" ht="15.75" customHeight="1">
      <c r="A142" s="5">
        <v>153.0</v>
      </c>
      <c r="B142" s="5" t="s">
        <v>11</v>
      </c>
      <c r="C142" s="5" t="s">
        <v>160</v>
      </c>
      <c r="D142" s="5" t="s">
        <v>217</v>
      </c>
      <c r="E142" s="5" t="str">
        <f t="shared" si="1"/>
        <v>CITB Paid (Admin - CC)</v>
      </c>
      <c r="F142" s="5" t="s">
        <v>253</v>
      </c>
      <c r="G142" s="5" t="s">
        <v>134</v>
      </c>
      <c r="H142" s="5" t="s">
        <v>33</v>
      </c>
      <c r="I142" s="5"/>
      <c r="J142" s="5"/>
      <c r="K142" s="5"/>
      <c r="L142" s="5"/>
    </row>
    <row r="143" ht="15.75" customHeight="1">
      <c r="A143" s="5">
        <v>154.0</v>
      </c>
      <c r="B143" s="5" t="s">
        <v>11</v>
      </c>
      <c r="C143" s="5" t="s">
        <v>160</v>
      </c>
      <c r="D143" s="5" t="s">
        <v>254</v>
      </c>
      <c r="E143" s="5" t="str">
        <f t="shared" si="1"/>
        <v>DA DA Requested</v>
      </c>
      <c r="F143" s="5" t="s">
        <v>255</v>
      </c>
      <c r="G143" s="5" t="s">
        <v>60</v>
      </c>
      <c r="H143" s="6" t="s">
        <v>37</v>
      </c>
      <c r="I143" s="5"/>
      <c r="J143" s="5"/>
      <c r="K143" s="5"/>
      <c r="L143" s="5"/>
    </row>
    <row r="144" ht="15.75" customHeight="1">
      <c r="A144" s="5">
        <v>155.0</v>
      </c>
      <c r="B144" s="5" t="s">
        <v>11</v>
      </c>
      <c r="C144" s="5" t="s">
        <v>160</v>
      </c>
      <c r="D144" s="5" t="s">
        <v>254</v>
      </c>
      <c r="E144" s="5" t="str">
        <f t="shared" si="1"/>
        <v>DA DA Approved (7 Days)</v>
      </c>
      <c r="F144" s="5" t="s">
        <v>256</v>
      </c>
      <c r="G144" s="5" t="s">
        <v>134</v>
      </c>
      <c r="H144" s="6" t="s">
        <v>37</v>
      </c>
      <c r="I144" s="5"/>
      <c r="J144" s="5">
        <v>7.0</v>
      </c>
      <c r="K144" s="5"/>
      <c r="L144" s="5"/>
    </row>
    <row r="145" ht="15.75" customHeight="1">
      <c r="A145" s="5">
        <v>156.0</v>
      </c>
      <c r="B145" s="5" t="s">
        <v>11</v>
      </c>
      <c r="C145" s="5" t="s">
        <v>160</v>
      </c>
      <c r="D145" s="5" t="s">
        <v>257</v>
      </c>
      <c r="E145" s="5" t="str">
        <f t="shared" si="1"/>
        <v>Final Site Inspection, confirmation of Services Ordered</v>
      </c>
      <c r="F145" s="5" t="s">
        <v>65</v>
      </c>
      <c r="G145" s="5" t="s">
        <v>134</v>
      </c>
      <c r="H145" s="6" t="s">
        <v>37</v>
      </c>
      <c r="I145" s="5"/>
      <c r="J145" s="5"/>
      <c r="K145" s="5"/>
      <c r="L145" s="5"/>
    </row>
    <row r="146" ht="15.75" customHeight="1">
      <c r="A146" s="5">
        <v>157.0</v>
      </c>
      <c r="B146" s="5" t="s">
        <v>11</v>
      </c>
      <c r="C146" s="5" t="s">
        <v>160</v>
      </c>
      <c r="D146" s="5" t="s">
        <v>257</v>
      </c>
      <c r="E146" s="5" t="str">
        <f t="shared" si="1"/>
        <v>Final Site Inspection, confirmation of Services Back (7 Days)</v>
      </c>
      <c r="F146" s="5" t="s">
        <v>258</v>
      </c>
      <c r="G146" s="5" t="s">
        <v>134</v>
      </c>
      <c r="H146" s="6" t="s">
        <v>37</v>
      </c>
      <c r="I146" s="5"/>
      <c r="J146" s="5">
        <v>7.0</v>
      </c>
      <c r="K146" s="5"/>
      <c r="L146" s="5"/>
    </row>
    <row r="147" ht="15.75" customHeight="1">
      <c r="A147" s="5">
        <v>158.0</v>
      </c>
      <c r="B147" s="5" t="s">
        <v>11</v>
      </c>
      <c r="C147" s="5" t="s">
        <v>160</v>
      </c>
      <c r="D147" s="5" t="s">
        <v>257</v>
      </c>
      <c r="E147" s="5" t="str">
        <f t="shared" si="1"/>
        <v>Final Site Inspection, confirmation of Services Actioned</v>
      </c>
      <c r="F147" s="5" t="s">
        <v>259</v>
      </c>
      <c r="G147" s="5" t="s">
        <v>134</v>
      </c>
      <c r="H147" s="6" t="s">
        <v>37</v>
      </c>
      <c r="I147" s="5"/>
      <c r="J147" s="5"/>
      <c r="K147" s="5"/>
      <c r="L147" s="5"/>
    </row>
    <row r="148" ht="15.75" customHeight="1">
      <c r="A148" s="5">
        <v>159.0</v>
      </c>
      <c r="B148" s="5" t="s">
        <v>11</v>
      </c>
      <c r="C148" s="5" t="s">
        <v>160</v>
      </c>
      <c r="D148" s="5" t="s">
        <v>136</v>
      </c>
      <c r="E148" s="5" t="str">
        <f t="shared" si="1"/>
        <v>Finance Updated Progress Payment Schedule issued for VO's over $40K</v>
      </c>
      <c r="F148" s="5" t="s">
        <v>260</v>
      </c>
      <c r="G148" s="5" t="s">
        <v>134</v>
      </c>
      <c r="H148" s="5" t="s">
        <v>33</v>
      </c>
      <c r="I148" s="5"/>
      <c r="J148" s="5"/>
      <c r="K148" s="5"/>
      <c r="L148" s="5"/>
    </row>
    <row r="149" ht="15.75" customHeight="1">
      <c r="A149" s="5">
        <v>160.0</v>
      </c>
      <c r="B149" s="5" t="s">
        <v>11</v>
      </c>
      <c r="C149" s="5" t="s">
        <v>160</v>
      </c>
      <c r="D149" s="5" t="s">
        <v>136</v>
      </c>
      <c r="E149" s="5" t="str">
        <f t="shared" si="1"/>
        <v>Finance Total of Variations Incl. CPC</v>
      </c>
      <c r="F149" s="5" t="s">
        <v>261</v>
      </c>
      <c r="G149" s="5" t="s">
        <v>134</v>
      </c>
      <c r="H149" s="5" t="s">
        <v>33</v>
      </c>
      <c r="I149" s="5"/>
      <c r="J149" s="5"/>
      <c r="K149" s="5"/>
      <c r="L149" s="5"/>
    </row>
    <row r="150" ht="15.75" customHeight="1">
      <c r="A150" s="5">
        <v>161.0</v>
      </c>
      <c r="B150" s="5" t="s">
        <v>11</v>
      </c>
      <c r="C150" s="5" t="s">
        <v>160</v>
      </c>
      <c r="D150" s="5" t="s">
        <v>136</v>
      </c>
      <c r="E150" s="5" t="str">
        <f t="shared" si="1"/>
        <v>Finance Revised Progress Claim amount/Total Build Amount - Approved by Accounts</v>
      </c>
      <c r="F150" s="5" t="s">
        <v>262</v>
      </c>
      <c r="G150" s="5" t="s">
        <v>134</v>
      </c>
      <c r="H150" s="5" t="s">
        <v>33</v>
      </c>
      <c r="I150" s="5"/>
      <c r="J150" s="5"/>
      <c r="K150" s="5"/>
      <c r="L150" s="5"/>
    </row>
    <row r="151" ht="15.75" customHeight="1">
      <c r="A151" s="5">
        <v>162.0</v>
      </c>
      <c r="B151" s="5" t="s">
        <v>11</v>
      </c>
      <c r="C151" s="5" t="s">
        <v>160</v>
      </c>
      <c r="D151" s="5" t="s">
        <v>136</v>
      </c>
      <c r="E151" s="5" t="str">
        <f t="shared" si="1"/>
        <v>Finance Loan Approval Requested</v>
      </c>
      <c r="F151" s="5" t="s">
        <v>263</v>
      </c>
      <c r="G151" s="5" t="s">
        <v>60</v>
      </c>
      <c r="H151" s="5" t="s">
        <v>33</v>
      </c>
      <c r="I151" s="5"/>
      <c r="J151" s="5"/>
      <c r="K151" s="5"/>
      <c r="L151" s="5"/>
    </row>
    <row r="152" ht="15.75" customHeight="1">
      <c r="A152" s="5">
        <v>163.0</v>
      </c>
      <c r="B152" s="5" t="s">
        <v>11</v>
      </c>
      <c r="C152" s="5" t="s">
        <v>160</v>
      </c>
      <c r="D152" s="5" t="s">
        <v>136</v>
      </c>
      <c r="E152" s="5" t="str">
        <f t="shared" si="1"/>
        <v>Finance Loan Approval Received (14 Days)</v>
      </c>
      <c r="F152" s="5" t="s">
        <v>264</v>
      </c>
      <c r="G152" s="5" t="s">
        <v>134</v>
      </c>
      <c r="H152" s="5" t="s">
        <v>33</v>
      </c>
      <c r="I152" s="5"/>
      <c r="J152" s="5">
        <v>14.0</v>
      </c>
      <c r="K152" s="5"/>
      <c r="L152" s="5"/>
    </row>
    <row r="153" ht="15.75" customHeight="1">
      <c r="A153" s="5">
        <v>164.0</v>
      </c>
      <c r="B153" s="5" t="s">
        <v>11</v>
      </c>
      <c r="C153" s="5" t="s">
        <v>160</v>
      </c>
      <c r="D153" s="5" t="s">
        <v>136</v>
      </c>
      <c r="E153" s="5" t="str">
        <f t="shared" si="1"/>
        <v>Finance Further Proof of Finance</v>
      </c>
      <c r="F153" s="5" t="s">
        <v>265</v>
      </c>
      <c r="G153" s="5" t="s">
        <v>134</v>
      </c>
      <c r="H153" s="5" t="s">
        <v>33</v>
      </c>
      <c r="I153" s="5"/>
      <c r="J153" s="5"/>
      <c r="K153" s="5"/>
      <c r="L153" s="5"/>
    </row>
    <row r="154" ht="15.75" customHeight="1">
      <c r="A154" s="5">
        <v>165.0</v>
      </c>
      <c r="B154" s="5" t="s">
        <v>11</v>
      </c>
      <c r="C154" s="5" t="s">
        <v>160</v>
      </c>
      <c r="D154" s="5" t="s">
        <v>136</v>
      </c>
      <c r="E154" s="5" t="str">
        <f t="shared" si="1"/>
        <v>Finance Commencement Letter requested</v>
      </c>
      <c r="F154" s="5" t="s">
        <v>266</v>
      </c>
      <c r="G154" s="5" t="s">
        <v>134</v>
      </c>
      <c r="H154" s="5" t="s">
        <v>33</v>
      </c>
      <c r="I154" s="5"/>
      <c r="J154" s="5"/>
      <c r="K154" s="5"/>
      <c r="L154" s="5"/>
    </row>
    <row r="155" ht="15.75" customHeight="1">
      <c r="A155" s="5">
        <v>166.0</v>
      </c>
      <c r="B155" s="5" t="s">
        <v>11</v>
      </c>
      <c r="C155" s="5" t="s">
        <v>160</v>
      </c>
      <c r="D155" s="5" t="s">
        <v>136</v>
      </c>
      <c r="E155" s="5" t="str">
        <f t="shared" si="1"/>
        <v>Finance Commencement Letter received</v>
      </c>
      <c r="F155" s="5" t="s">
        <v>267</v>
      </c>
      <c r="G155" s="5" t="s">
        <v>134</v>
      </c>
      <c r="H155" s="5" t="s">
        <v>33</v>
      </c>
      <c r="I155" s="5"/>
      <c r="J155" s="5"/>
      <c r="K155" s="5"/>
      <c r="L155" s="5"/>
    </row>
    <row r="156" ht="15.75" customHeight="1">
      <c r="A156" s="5">
        <v>167.0</v>
      </c>
      <c r="B156" s="5" t="s">
        <v>11</v>
      </c>
      <c r="C156" s="5" t="s">
        <v>160</v>
      </c>
      <c r="D156" s="5" t="s">
        <v>136</v>
      </c>
      <c r="E156" s="5" t="str">
        <f t="shared" si="1"/>
        <v>Finance Settlement on Land - Titles</v>
      </c>
      <c r="F156" s="5" t="s">
        <v>268</v>
      </c>
      <c r="G156" s="5" t="s">
        <v>134</v>
      </c>
      <c r="H156" s="5" t="s">
        <v>33</v>
      </c>
      <c r="I156" s="5"/>
      <c r="J156" s="5"/>
      <c r="K156" s="5"/>
      <c r="L156" s="5"/>
    </row>
    <row r="157" ht="15.75" customHeight="1">
      <c r="A157" s="5">
        <v>168.0</v>
      </c>
      <c r="B157" s="5" t="s">
        <v>11</v>
      </c>
      <c r="C157" s="5" t="s">
        <v>160</v>
      </c>
      <c r="D157" s="5" t="s">
        <v>224</v>
      </c>
      <c r="E157" s="5" t="str">
        <f t="shared" si="1"/>
        <v>HOW Insurance Discuss amount with Craig</v>
      </c>
      <c r="F157" s="5" t="s">
        <v>269</v>
      </c>
      <c r="G157" s="5" t="s">
        <v>134</v>
      </c>
      <c r="H157" s="5" t="s">
        <v>33</v>
      </c>
      <c r="I157" s="5"/>
      <c r="J157" s="5"/>
      <c r="K157" s="5"/>
      <c r="L157" s="5"/>
    </row>
    <row r="158" ht="15.75" customHeight="1">
      <c r="A158" s="5">
        <v>169.0</v>
      </c>
      <c r="B158" s="5" t="s">
        <v>11</v>
      </c>
      <c r="C158" s="5" t="s">
        <v>160</v>
      </c>
      <c r="D158" s="5" t="s">
        <v>224</v>
      </c>
      <c r="E158" s="5" t="str">
        <f t="shared" si="1"/>
        <v>HOW Insurance Requested</v>
      </c>
      <c r="F158" s="5" t="s">
        <v>270</v>
      </c>
      <c r="G158" s="5" t="s">
        <v>60</v>
      </c>
      <c r="H158" s="5" t="s">
        <v>33</v>
      </c>
      <c r="I158" s="5" t="s">
        <v>136</v>
      </c>
      <c r="J158" s="5"/>
      <c r="K158" s="5"/>
      <c r="L158" s="5"/>
    </row>
    <row r="159" ht="15.75" customHeight="1">
      <c r="A159" s="5">
        <v>170.0</v>
      </c>
      <c r="B159" s="5" t="s">
        <v>11</v>
      </c>
      <c r="C159" s="5" t="s">
        <v>160</v>
      </c>
      <c r="D159" s="5" t="s">
        <v>224</v>
      </c>
      <c r="E159" s="5" t="str">
        <f t="shared" si="1"/>
        <v>HOW Insurance Received</v>
      </c>
      <c r="F159" s="5" t="s">
        <v>69</v>
      </c>
      <c r="G159" s="5" t="s">
        <v>60</v>
      </c>
      <c r="H159" s="5" t="s">
        <v>33</v>
      </c>
      <c r="I159" s="5" t="s">
        <v>136</v>
      </c>
      <c r="J159" s="5"/>
      <c r="K159" s="5"/>
      <c r="L159" s="5"/>
    </row>
    <row r="160" ht="15.75" customHeight="1">
      <c r="A160" s="5">
        <v>171.0</v>
      </c>
      <c r="B160" s="5" t="s">
        <v>11</v>
      </c>
      <c r="C160" s="5" t="s">
        <v>160</v>
      </c>
      <c r="D160" s="5" t="s">
        <v>224</v>
      </c>
      <c r="E160" s="5" t="str">
        <f t="shared" si="1"/>
        <v>HOW Insurance Invoiced Paid</v>
      </c>
      <c r="F160" s="5" t="s">
        <v>271</v>
      </c>
      <c r="G160" s="5" t="s">
        <v>60</v>
      </c>
      <c r="H160" s="5" t="s">
        <v>33</v>
      </c>
      <c r="I160" s="5" t="s">
        <v>136</v>
      </c>
      <c r="J160" s="5"/>
      <c r="K160" s="5"/>
      <c r="L160" s="5"/>
    </row>
    <row r="161" ht="15.75" customHeight="1">
      <c r="A161" s="5">
        <v>172.0</v>
      </c>
      <c r="B161" s="5" t="s">
        <v>11</v>
      </c>
      <c r="C161" s="5" t="s">
        <v>160</v>
      </c>
      <c r="D161" s="5" t="s">
        <v>272</v>
      </c>
      <c r="E161" s="5" t="str">
        <f t="shared" si="1"/>
        <v>Released to Construction Request Released to Construction Template CRAIG</v>
      </c>
      <c r="F161" s="5" t="s">
        <v>273</v>
      </c>
      <c r="G161" s="5" t="s">
        <v>60</v>
      </c>
      <c r="H161" s="5" t="s">
        <v>33</v>
      </c>
      <c r="I161" s="5"/>
      <c r="J161" s="5"/>
      <c r="K161" s="5"/>
      <c r="L161" s="5"/>
    </row>
    <row r="162" ht="15.75" customHeight="1">
      <c r="A162" s="5">
        <v>173.0</v>
      </c>
      <c r="B162" s="5" t="s">
        <v>11</v>
      </c>
      <c r="C162" s="5" t="s">
        <v>160</v>
      </c>
      <c r="D162" s="5" t="s">
        <v>272</v>
      </c>
      <c r="E162" s="5" t="str">
        <f t="shared" si="1"/>
        <v>Released to Construction Pre Release to Scheduling and PO's</v>
      </c>
      <c r="F162" s="5" t="s">
        <v>274</v>
      </c>
      <c r="G162" s="5" t="s">
        <v>60</v>
      </c>
      <c r="H162" s="5" t="s">
        <v>33</v>
      </c>
      <c r="I162" s="5" t="s">
        <v>275</v>
      </c>
      <c r="J162" s="5"/>
      <c r="K162" s="5"/>
      <c r="L162" s="5"/>
    </row>
    <row r="163" ht="15.75" customHeight="1">
      <c r="A163" s="5">
        <v>174.0</v>
      </c>
      <c r="B163" s="5" t="s">
        <v>11</v>
      </c>
      <c r="C163" s="5" t="s">
        <v>160</v>
      </c>
      <c r="D163" s="5" t="s">
        <v>272</v>
      </c>
      <c r="E163" s="5" t="str">
        <f t="shared" si="1"/>
        <v>Released to Construction released to construction (HOW Complete)</v>
      </c>
      <c r="F163" s="5" t="s">
        <v>276</v>
      </c>
      <c r="G163" s="5" t="s">
        <v>60</v>
      </c>
      <c r="H163" s="5" t="s">
        <v>33</v>
      </c>
      <c r="I163" s="5"/>
      <c r="J163" s="5">
        <v>3.0</v>
      </c>
      <c r="K163" s="5" t="s">
        <v>277</v>
      </c>
      <c r="L163" s="5"/>
    </row>
    <row r="164" ht="15.75" customHeight="1">
      <c r="A164" s="5">
        <v>175.0</v>
      </c>
      <c r="B164" s="5" t="s">
        <v>28</v>
      </c>
      <c r="C164" s="5" t="s">
        <v>227</v>
      </c>
      <c r="D164" s="5" t="s">
        <v>227</v>
      </c>
      <c r="E164" s="5" t="str">
        <f t="shared" si="1"/>
        <v>PWA Cancellation Letter Issued (also update col B to 'cancelling')</v>
      </c>
      <c r="F164" s="5" t="s">
        <v>278</v>
      </c>
      <c r="G164" s="5" t="s">
        <v>56</v>
      </c>
      <c r="H164" s="5" t="s">
        <v>33</v>
      </c>
      <c r="I164" s="5"/>
      <c r="J164" s="5"/>
      <c r="K164" s="5"/>
      <c r="L164" s="5"/>
    </row>
    <row r="165" ht="15.75" customHeight="1">
      <c r="A165" s="5">
        <v>176.0</v>
      </c>
      <c r="B165" s="5" t="s">
        <v>28</v>
      </c>
      <c r="C165" s="5" t="s">
        <v>227</v>
      </c>
      <c r="D165" s="5" t="s">
        <v>227</v>
      </c>
      <c r="E165" s="5" t="str">
        <f t="shared" si="1"/>
        <v>PWA Cancellation Signed Returned</v>
      </c>
      <c r="F165" s="5" t="s">
        <v>279</v>
      </c>
      <c r="G165" s="5" t="s">
        <v>134</v>
      </c>
      <c r="H165" s="5" t="s">
        <v>33</v>
      </c>
      <c r="I165" s="5"/>
      <c r="J165" s="5"/>
      <c r="K165" s="5"/>
      <c r="L165" s="5"/>
    </row>
    <row r="166" ht="15.75" customHeight="1">
      <c r="A166" s="5">
        <v>177.0</v>
      </c>
      <c r="B166" s="5" t="s">
        <v>28</v>
      </c>
      <c r="C166" s="5" t="s">
        <v>227</v>
      </c>
      <c r="D166" s="5" t="s">
        <v>227</v>
      </c>
      <c r="E166" s="5" t="str">
        <f t="shared" si="1"/>
        <v>PWA Cancellation Followed Up (Unsigned)</v>
      </c>
      <c r="F166" s="5" t="s">
        <v>280</v>
      </c>
      <c r="G166" s="5" t="s">
        <v>134</v>
      </c>
      <c r="H166" s="5" t="s">
        <v>33</v>
      </c>
      <c r="I166" s="5"/>
      <c r="J166" s="5"/>
      <c r="K166" s="5"/>
      <c r="L166" s="5"/>
    </row>
    <row r="167" ht="15.75" customHeight="1">
      <c r="A167" s="5">
        <v>178.0</v>
      </c>
      <c r="B167" s="5" t="s">
        <v>28</v>
      </c>
      <c r="C167" s="5" t="s">
        <v>227</v>
      </c>
      <c r="D167" s="5" t="s">
        <v>227</v>
      </c>
      <c r="E167" s="5" t="str">
        <f t="shared" si="1"/>
        <v>PWA Cancellation Advised Departments Job Closed</v>
      </c>
      <c r="F167" s="5" t="s">
        <v>281</v>
      </c>
      <c r="G167" s="5" t="s">
        <v>134</v>
      </c>
      <c r="H167" s="5" t="s">
        <v>33</v>
      </c>
      <c r="I167" s="5"/>
      <c r="J167" s="5"/>
      <c r="K167" s="5"/>
      <c r="L167" s="5"/>
    </row>
    <row r="168" ht="15.75" customHeight="1">
      <c r="A168" s="5">
        <v>179.0</v>
      </c>
      <c r="B168" s="5" t="s">
        <v>28</v>
      </c>
      <c r="C168" s="5" t="s">
        <v>229</v>
      </c>
      <c r="D168" s="5" t="s">
        <v>229</v>
      </c>
      <c r="E168" s="5" t="str">
        <f t="shared" si="1"/>
        <v>Contract Cancellation Refund Y/N</v>
      </c>
      <c r="F168" s="5" t="s">
        <v>282</v>
      </c>
      <c r="G168" s="5" t="s">
        <v>60</v>
      </c>
      <c r="H168" s="5" t="s">
        <v>33</v>
      </c>
      <c r="I168" s="5"/>
      <c r="J168" s="5"/>
      <c r="K168" s="5"/>
      <c r="L168" s="5"/>
    </row>
    <row r="169" ht="15.75" customHeight="1">
      <c r="A169" s="5">
        <v>180.0</v>
      </c>
      <c r="B169" s="5" t="s">
        <v>28</v>
      </c>
      <c r="C169" s="5" t="s">
        <v>229</v>
      </c>
      <c r="D169" s="5" t="s">
        <v>229</v>
      </c>
      <c r="E169" s="5" t="str">
        <f t="shared" si="1"/>
        <v>Contract Cancellation Agreed Amount $</v>
      </c>
      <c r="F169" s="5" t="s">
        <v>283</v>
      </c>
      <c r="G169" s="5" t="s">
        <v>60</v>
      </c>
      <c r="H169" s="5" t="s">
        <v>33</v>
      </c>
      <c r="I169" s="5"/>
      <c r="J169" s="5"/>
      <c r="K169" s="5"/>
      <c r="L169" s="5"/>
    </row>
    <row r="170" ht="15.75" customHeight="1">
      <c r="A170" s="5">
        <v>181.0</v>
      </c>
      <c r="B170" s="5" t="s">
        <v>28</v>
      </c>
      <c r="C170" s="5" t="s">
        <v>229</v>
      </c>
      <c r="D170" s="5" t="s">
        <v>229</v>
      </c>
      <c r="E170" s="5" t="str">
        <f t="shared" si="1"/>
        <v>Contract Cancellation Release of Documents Y/N</v>
      </c>
      <c r="F170" s="5" t="s">
        <v>284</v>
      </c>
      <c r="G170" s="5" t="s">
        <v>60</v>
      </c>
      <c r="H170" s="5" t="s">
        <v>33</v>
      </c>
      <c r="I170" s="5"/>
      <c r="J170" s="5"/>
      <c r="K170" s="5"/>
      <c r="L170" s="5"/>
    </row>
    <row r="171" ht="15.75" customHeight="1">
      <c r="A171" s="5">
        <v>182.0</v>
      </c>
      <c r="B171" s="5" t="s">
        <v>28</v>
      </c>
      <c r="C171" s="5" t="s">
        <v>229</v>
      </c>
      <c r="D171" s="5" t="s">
        <v>229</v>
      </c>
      <c r="E171" s="5" t="str">
        <f t="shared" si="1"/>
        <v>Contract Cancellation Letter Issued</v>
      </c>
      <c r="F171" s="5" t="s">
        <v>285</v>
      </c>
      <c r="G171" s="5" t="s">
        <v>66</v>
      </c>
      <c r="H171" s="5" t="s">
        <v>33</v>
      </c>
      <c r="I171" s="5"/>
      <c r="J171" s="5"/>
      <c r="K171" s="5"/>
      <c r="L171" s="5"/>
    </row>
    <row r="172" ht="15.75" customHeight="1">
      <c r="A172" s="5">
        <v>183.0</v>
      </c>
      <c r="B172" s="5" t="s">
        <v>28</v>
      </c>
      <c r="C172" s="5" t="s">
        <v>229</v>
      </c>
      <c r="D172" s="5" t="s">
        <v>229</v>
      </c>
      <c r="E172" s="5" t="str">
        <f t="shared" si="1"/>
        <v>Contract Cancellation Followed up Unsigned</v>
      </c>
      <c r="F172" s="5" t="s">
        <v>286</v>
      </c>
      <c r="G172" s="5" t="s">
        <v>134</v>
      </c>
      <c r="H172" s="5" t="s">
        <v>33</v>
      </c>
      <c r="I172" s="5"/>
      <c r="J172" s="5"/>
      <c r="K172" s="5"/>
      <c r="L172" s="5"/>
    </row>
    <row r="173" ht="15.75" customHeight="1">
      <c r="A173" s="5">
        <v>184.0</v>
      </c>
      <c r="B173" s="5" t="s">
        <v>28</v>
      </c>
      <c r="C173" s="5" t="s">
        <v>229</v>
      </c>
      <c r="D173" s="5" t="s">
        <v>229</v>
      </c>
      <c r="E173" s="5" t="str">
        <f t="shared" si="1"/>
        <v>Contract Cancellation Signed Returned</v>
      </c>
      <c r="F173" s="5" t="s">
        <v>279</v>
      </c>
      <c r="G173" s="5" t="s">
        <v>134</v>
      </c>
      <c r="H173" s="5" t="s">
        <v>33</v>
      </c>
      <c r="I173" s="5"/>
      <c r="J173" s="5"/>
      <c r="K173" s="5"/>
      <c r="L173" s="5"/>
    </row>
    <row r="174" ht="15.75" customHeight="1">
      <c r="A174" s="5">
        <v>185.0</v>
      </c>
      <c r="B174" s="5" t="s">
        <v>28</v>
      </c>
      <c r="C174" s="5" t="s">
        <v>229</v>
      </c>
      <c r="D174" s="5" t="s">
        <v>229</v>
      </c>
      <c r="E174" s="5" t="str">
        <f t="shared" si="1"/>
        <v>Contract Cancellation Payment Made</v>
      </c>
      <c r="F174" s="5" t="s">
        <v>287</v>
      </c>
      <c r="G174" s="5" t="s">
        <v>134</v>
      </c>
      <c r="H174" s="5" t="s">
        <v>33</v>
      </c>
      <c r="I174" s="5"/>
      <c r="J174" s="5"/>
      <c r="K174" s="5"/>
      <c r="L174" s="5"/>
    </row>
    <row r="175" ht="15.75" customHeight="1">
      <c r="A175" s="5">
        <v>186.0</v>
      </c>
      <c r="B175" s="5" t="s">
        <v>28</v>
      </c>
      <c r="C175" s="5" t="s">
        <v>229</v>
      </c>
      <c r="D175" s="5" t="s">
        <v>229</v>
      </c>
      <c r="E175" s="5" t="str">
        <f t="shared" si="1"/>
        <v>Contract Cancellation Documents Released</v>
      </c>
      <c r="F175" s="5" t="s">
        <v>288</v>
      </c>
      <c r="G175" s="5" t="s">
        <v>134</v>
      </c>
      <c r="H175" s="5" t="s">
        <v>33</v>
      </c>
      <c r="I175" s="5"/>
      <c r="J175" s="5"/>
      <c r="K175" s="5"/>
      <c r="L175" s="5"/>
    </row>
    <row r="176" ht="15.75" customHeight="1">
      <c r="A176" s="5">
        <v>187.0</v>
      </c>
      <c r="B176" s="5" t="s">
        <v>28</v>
      </c>
      <c r="C176" s="5" t="s">
        <v>229</v>
      </c>
      <c r="D176" s="5" t="s">
        <v>229</v>
      </c>
      <c r="E176" s="5" t="str">
        <f t="shared" si="1"/>
        <v>Contract Cancellation Advised Departments Job Closed</v>
      </c>
      <c r="F176" s="5" t="s">
        <v>281</v>
      </c>
      <c r="G176" s="5" t="s">
        <v>134</v>
      </c>
      <c r="H176" s="5" t="s">
        <v>33</v>
      </c>
      <c r="I176" s="5"/>
      <c r="J176" s="5"/>
      <c r="K176" s="5"/>
      <c r="L176" s="5"/>
    </row>
    <row r="177" ht="15.75" customHeight="1">
      <c r="E177" s="5" t="str">
        <f t="shared" si="1"/>
        <v> </v>
      </c>
    </row>
    <row r="178" ht="15.75" customHeight="1">
      <c r="A178" s="10" t="s">
        <v>289</v>
      </c>
      <c r="B178" s="3" t="s">
        <v>13</v>
      </c>
      <c r="C178" s="10" t="s">
        <v>57</v>
      </c>
      <c r="D178" s="10" t="s">
        <v>290</v>
      </c>
      <c r="E178" s="5" t="str">
        <f t="shared" si="1"/>
        <v>Task Name Forecast Start</v>
      </c>
      <c r="F178" s="10" t="s">
        <v>291</v>
      </c>
      <c r="G178" s="10" t="s">
        <v>52</v>
      </c>
      <c r="H178" s="10"/>
      <c r="I178" s="10" t="s">
        <v>292</v>
      </c>
      <c r="J178" s="10" t="s">
        <v>293</v>
      </c>
      <c r="K178" s="10" t="s">
        <v>24</v>
      </c>
    </row>
    <row r="179" ht="15.75" customHeight="1">
      <c r="A179" s="11">
        <v>1.0</v>
      </c>
      <c r="B179" s="3" t="s">
        <v>13</v>
      </c>
      <c r="C179" s="10" t="s">
        <v>230</v>
      </c>
      <c r="D179" s="10" t="s">
        <v>230</v>
      </c>
      <c r="E179" s="5" t="str">
        <f t="shared" si="1"/>
        <v>1 - Footings FOOTINGS</v>
      </c>
      <c r="F179" s="10" t="s">
        <v>294</v>
      </c>
      <c r="G179" s="10" t="s">
        <v>52</v>
      </c>
      <c r="H179" s="10" t="s">
        <v>33</v>
      </c>
      <c r="I179" s="10" t="s">
        <v>156</v>
      </c>
      <c r="J179" s="11">
        <v>18.0</v>
      </c>
      <c r="K179" s="10"/>
      <c r="L179" s="10"/>
    </row>
    <row r="180" ht="15.75" customHeight="1">
      <c r="A180" s="11">
        <v>2.0</v>
      </c>
      <c r="B180" s="3" t="s">
        <v>13</v>
      </c>
      <c r="C180" s="10" t="s">
        <v>230</v>
      </c>
      <c r="D180" s="10" t="s">
        <v>230</v>
      </c>
      <c r="E180" s="5" t="str">
        <f t="shared" si="1"/>
        <v>1 - Footings COMMENCE CONSTRUCTION</v>
      </c>
      <c r="F180" s="10" t="s">
        <v>295</v>
      </c>
      <c r="G180" s="10" t="s">
        <v>52</v>
      </c>
      <c r="H180" s="10" t="s">
        <v>33</v>
      </c>
      <c r="I180" s="10" t="s">
        <v>296</v>
      </c>
      <c r="J180" s="11">
        <v>1.0</v>
      </c>
      <c r="K180" s="10"/>
      <c r="L180" s="12">
        <v>37716.0</v>
      </c>
    </row>
    <row r="181" ht="15.75" customHeight="1">
      <c r="A181" s="11">
        <v>3.0</v>
      </c>
      <c r="B181" s="3" t="s">
        <v>13</v>
      </c>
      <c r="C181" s="10" t="s">
        <v>230</v>
      </c>
      <c r="D181" s="10" t="s">
        <v>230</v>
      </c>
      <c r="E181" s="5" t="str">
        <f t="shared" si="1"/>
        <v>1 - Footings Council Notification - Commence Construction</v>
      </c>
      <c r="F181" s="10" t="s">
        <v>297</v>
      </c>
      <c r="G181" s="10" t="s">
        <v>52</v>
      </c>
      <c r="H181" s="10" t="s">
        <v>33</v>
      </c>
      <c r="I181" s="10" t="s">
        <v>296</v>
      </c>
      <c r="J181" s="11">
        <v>1.0</v>
      </c>
      <c r="K181" s="10">
        <v>2.0</v>
      </c>
      <c r="L181" s="10"/>
    </row>
    <row r="182" ht="15.75" customHeight="1">
      <c r="A182" s="11">
        <v>4.0</v>
      </c>
      <c r="B182" s="3" t="s">
        <v>13</v>
      </c>
      <c r="C182" s="10" t="s">
        <v>230</v>
      </c>
      <c r="D182" s="10" t="s">
        <v>230</v>
      </c>
      <c r="E182" s="5" t="str">
        <f t="shared" si="1"/>
        <v>1 - Footings TEMPORARY FENCE INSTALL</v>
      </c>
      <c r="F182" s="10" t="s">
        <v>298</v>
      </c>
      <c r="G182" s="10" t="s">
        <v>52</v>
      </c>
      <c r="H182" s="10" t="s">
        <v>33</v>
      </c>
      <c r="I182" s="10" t="s">
        <v>156</v>
      </c>
      <c r="J182" s="11">
        <v>1.0</v>
      </c>
      <c r="K182" s="10">
        <v>2.0</v>
      </c>
      <c r="L182" s="13">
        <v>46240.0</v>
      </c>
    </row>
    <row r="183" ht="15.75" customHeight="1">
      <c r="A183" s="11">
        <v>5.0</v>
      </c>
      <c r="B183" s="3" t="s">
        <v>13</v>
      </c>
      <c r="C183" s="10" t="s">
        <v>230</v>
      </c>
      <c r="D183" s="10" t="s">
        <v>230</v>
      </c>
      <c r="E183" s="5" t="str">
        <f t="shared" si="1"/>
        <v>1 - Footings SITE TOILET DELIVERY</v>
      </c>
      <c r="F183" s="10" t="s">
        <v>299</v>
      </c>
      <c r="G183" s="10" t="s">
        <v>52</v>
      </c>
      <c r="H183" s="10" t="s">
        <v>33</v>
      </c>
      <c r="I183" s="10" t="s">
        <v>156</v>
      </c>
      <c r="J183" s="11">
        <v>1.0</v>
      </c>
      <c r="K183" s="10">
        <v>2.0</v>
      </c>
      <c r="L183" s="13">
        <v>46181.0</v>
      </c>
    </row>
    <row r="184" ht="15.75" customHeight="1">
      <c r="A184" s="11">
        <v>6.0</v>
      </c>
      <c r="B184" s="3" t="s">
        <v>13</v>
      </c>
      <c r="C184" s="10" t="s">
        <v>230</v>
      </c>
      <c r="D184" s="10" t="s">
        <v>230</v>
      </c>
      <c r="E184" s="5" t="str">
        <f t="shared" si="1"/>
        <v>1 - Footings RETAINING</v>
      </c>
      <c r="F184" s="10" t="s">
        <v>300</v>
      </c>
      <c r="G184" s="10" t="s">
        <v>52</v>
      </c>
      <c r="H184" s="10" t="s">
        <v>33</v>
      </c>
      <c r="I184" s="10" t="s">
        <v>156</v>
      </c>
      <c r="J184" s="11">
        <v>5.0</v>
      </c>
      <c r="K184" s="13">
        <v>46146.0</v>
      </c>
      <c r="L184" s="13">
        <v>46338.0</v>
      </c>
    </row>
    <row r="185" ht="15.75" customHeight="1">
      <c r="A185" s="11">
        <v>7.0</v>
      </c>
      <c r="B185" s="3" t="s">
        <v>13</v>
      </c>
      <c r="C185" s="10" t="s">
        <v>230</v>
      </c>
      <c r="D185" s="10" t="s">
        <v>230</v>
      </c>
      <c r="E185" s="5" t="str">
        <f t="shared" si="1"/>
        <v>1 - Footings Council Notification - Steel Inspection</v>
      </c>
      <c r="F185" s="10" t="s">
        <v>301</v>
      </c>
      <c r="G185" s="10" t="s">
        <v>52</v>
      </c>
      <c r="H185" s="10" t="s">
        <v>33</v>
      </c>
      <c r="I185" s="10" t="s">
        <v>296</v>
      </c>
      <c r="J185" s="11">
        <v>1.0</v>
      </c>
      <c r="K185" s="14">
        <v>46303.0</v>
      </c>
      <c r="L185" s="10"/>
    </row>
    <row r="186" ht="15.75" customHeight="1">
      <c r="A186" s="11">
        <v>8.0</v>
      </c>
      <c r="B186" s="3" t="s">
        <v>13</v>
      </c>
      <c r="C186" s="10" t="s">
        <v>230</v>
      </c>
      <c r="D186" s="10" t="s">
        <v>230</v>
      </c>
      <c r="E186" s="5" t="str">
        <f t="shared" si="1"/>
        <v>1 - Footings SLAB POUR</v>
      </c>
      <c r="F186" s="10" t="s">
        <v>302</v>
      </c>
      <c r="G186" s="10" t="s">
        <v>52</v>
      </c>
      <c r="H186" s="10" t="s">
        <v>33</v>
      </c>
      <c r="I186" s="10" t="s">
        <v>156</v>
      </c>
      <c r="J186" s="11">
        <v>14.0</v>
      </c>
      <c r="K186" s="13">
        <v>46117.0</v>
      </c>
      <c r="L186" s="10" t="s">
        <v>303</v>
      </c>
    </row>
    <row r="187" ht="15.75" customHeight="1">
      <c r="A187" s="11">
        <v>9.0</v>
      </c>
      <c r="B187" s="3" t="s">
        <v>13</v>
      </c>
      <c r="C187" s="10" t="s">
        <v>230</v>
      </c>
      <c r="D187" s="10" t="s">
        <v>230</v>
      </c>
      <c r="E187" s="5" t="str">
        <f t="shared" si="1"/>
        <v>1 - Footings Customer Notification - Footings Complete</v>
      </c>
      <c r="F187" s="10" t="s">
        <v>304</v>
      </c>
      <c r="G187" s="10" t="s">
        <v>52</v>
      </c>
      <c r="H187" s="10" t="s">
        <v>33</v>
      </c>
      <c r="I187" s="10" t="s">
        <v>296</v>
      </c>
      <c r="J187" s="11">
        <v>1.0</v>
      </c>
      <c r="K187" s="10">
        <v>8.0</v>
      </c>
      <c r="L187" s="10"/>
    </row>
    <row r="188" ht="15.75" customHeight="1">
      <c r="A188" s="11">
        <v>10.0</v>
      </c>
      <c r="B188" s="3" t="s">
        <v>13</v>
      </c>
      <c r="C188" s="10" t="s">
        <v>230</v>
      </c>
      <c r="D188" s="10" t="s">
        <v>230</v>
      </c>
      <c r="E188" s="5" t="str">
        <f t="shared" si="1"/>
        <v>1 - Footings Claim - Footings Stage - Completed</v>
      </c>
      <c r="F188" s="10" t="s">
        <v>305</v>
      </c>
      <c r="G188" s="10" t="s">
        <v>52</v>
      </c>
      <c r="H188" s="10" t="s">
        <v>33</v>
      </c>
      <c r="I188" s="10" t="s">
        <v>296</v>
      </c>
      <c r="J188" s="11">
        <v>0.0</v>
      </c>
      <c r="K188" s="10">
        <v>8.0</v>
      </c>
      <c r="L188" s="10"/>
    </row>
    <row r="189" ht="15.75" customHeight="1">
      <c r="A189" s="11">
        <v>11.0</v>
      </c>
      <c r="B189" s="3" t="s">
        <v>13</v>
      </c>
      <c r="C189" s="10" t="s">
        <v>230</v>
      </c>
      <c r="D189" s="10" t="s">
        <v>230</v>
      </c>
      <c r="E189" s="5" t="str">
        <f t="shared" si="1"/>
        <v>1 - Footings UNDERGROUND ELEC</v>
      </c>
      <c r="F189" s="10" t="s">
        <v>306</v>
      </c>
      <c r="G189" s="10" t="s">
        <v>52</v>
      </c>
      <c r="H189" s="10" t="s">
        <v>33</v>
      </c>
      <c r="I189" s="10" t="s">
        <v>156</v>
      </c>
      <c r="J189" s="11">
        <v>1.0</v>
      </c>
      <c r="K189" s="13">
        <v>46181.0</v>
      </c>
      <c r="L189" s="10"/>
    </row>
    <row r="190" ht="15.75" customHeight="1">
      <c r="A190" s="11">
        <v>12.0</v>
      </c>
      <c r="B190" s="3" t="s">
        <v>13</v>
      </c>
      <c r="C190" s="10" t="s">
        <v>230</v>
      </c>
      <c r="D190" s="10" t="s">
        <v>230</v>
      </c>
      <c r="E190" s="5" t="str">
        <f t="shared" si="1"/>
        <v>1 - Footings STORMWATER</v>
      </c>
      <c r="F190" s="10" t="s">
        <v>307</v>
      </c>
      <c r="G190" s="10" t="s">
        <v>52</v>
      </c>
      <c r="H190" s="10" t="s">
        <v>33</v>
      </c>
      <c r="I190" s="10" t="s">
        <v>156</v>
      </c>
      <c r="J190" s="11">
        <v>1.0</v>
      </c>
      <c r="K190" s="13">
        <v>46240.0</v>
      </c>
      <c r="L190" s="10"/>
    </row>
    <row r="191" ht="15.75" customHeight="1">
      <c r="A191" s="11">
        <v>13.0</v>
      </c>
      <c r="B191" s="3" t="s">
        <v>13</v>
      </c>
      <c r="C191" s="10" t="s">
        <v>230</v>
      </c>
      <c r="D191" s="10" t="s">
        <v>230</v>
      </c>
      <c r="E191" s="5" t="str">
        <f t="shared" si="1"/>
        <v>1 - Footings FINAL TRIM</v>
      </c>
      <c r="F191" s="10" t="s">
        <v>308</v>
      </c>
      <c r="G191" s="10" t="s">
        <v>52</v>
      </c>
      <c r="H191" s="10" t="s">
        <v>33</v>
      </c>
      <c r="I191" s="10" t="s">
        <v>156</v>
      </c>
      <c r="J191" s="11">
        <v>1.0</v>
      </c>
      <c r="K191" s="10">
        <v>8.0</v>
      </c>
      <c r="L191" s="10" t="s">
        <v>309</v>
      </c>
    </row>
    <row r="192" ht="15.75" customHeight="1">
      <c r="A192" s="11">
        <v>14.0</v>
      </c>
      <c r="B192" s="3" t="s">
        <v>13</v>
      </c>
      <c r="C192" s="10" t="s">
        <v>230</v>
      </c>
      <c r="D192" s="10" t="s">
        <v>230</v>
      </c>
      <c r="E192" s="5" t="str">
        <f t="shared" si="1"/>
        <v>1 - Footings BIN DELIVERY</v>
      </c>
      <c r="F192" s="10" t="s">
        <v>310</v>
      </c>
      <c r="G192" s="10" t="s">
        <v>52</v>
      </c>
      <c r="H192" s="10" t="s">
        <v>33</v>
      </c>
      <c r="I192" s="10" t="s">
        <v>156</v>
      </c>
      <c r="J192" s="11">
        <v>1.0</v>
      </c>
      <c r="K192" s="10">
        <v>13.0</v>
      </c>
      <c r="L192" s="10"/>
    </row>
    <row r="193" ht="15.75" customHeight="1">
      <c r="A193" s="11">
        <v>15.0</v>
      </c>
      <c r="B193" s="3" t="s">
        <v>13</v>
      </c>
      <c r="C193" s="10" t="s">
        <v>230</v>
      </c>
      <c r="D193" s="10" t="s">
        <v>230</v>
      </c>
      <c r="E193" s="5" t="str">
        <f t="shared" si="1"/>
        <v>1 - Footings BRICKS DELIVERY</v>
      </c>
      <c r="F193" s="10" t="s">
        <v>311</v>
      </c>
      <c r="G193" s="10" t="s">
        <v>52</v>
      </c>
      <c r="H193" s="10" t="s">
        <v>33</v>
      </c>
      <c r="I193" s="10" t="s">
        <v>156</v>
      </c>
      <c r="J193" s="11">
        <v>1.0</v>
      </c>
      <c r="K193" s="10">
        <v>13.0</v>
      </c>
      <c r="L193" s="10"/>
    </row>
    <row r="194" ht="15.75" customHeight="1">
      <c r="A194" s="11">
        <v>16.0</v>
      </c>
      <c r="B194" s="3" t="s">
        <v>13</v>
      </c>
      <c r="C194" s="10" t="s">
        <v>233</v>
      </c>
      <c r="D194" s="10" t="s">
        <v>233</v>
      </c>
      <c r="E194" s="5" t="str">
        <f t="shared" si="1"/>
        <v>2 - Frame FRAMING</v>
      </c>
      <c r="F194" s="10" t="s">
        <v>312</v>
      </c>
      <c r="G194" s="10" t="s">
        <v>52</v>
      </c>
      <c r="H194" s="10" t="s">
        <v>33</v>
      </c>
      <c r="I194" s="10"/>
      <c r="J194" s="11">
        <v>25.0</v>
      </c>
      <c r="K194" s="10"/>
      <c r="L194" s="10"/>
    </row>
    <row r="195" ht="15.75" customHeight="1">
      <c r="A195" s="11">
        <v>17.0</v>
      </c>
      <c r="B195" s="3" t="s">
        <v>13</v>
      </c>
      <c r="C195" s="10" t="s">
        <v>233</v>
      </c>
      <c r="D195" s="10" t="s">
        <v>233</v>
      </c>
      <c r="E195" s="5" t="str">
        <f t="shared" si="1"/>
        <v>2 - Frame WALL FRAME DELIVERY</v>
      </c>
      <c r="F195" s="10" t="s">
        <v>313</v>
      </c>
      <c r="G195" s="10" t="s">
        <v>52</v>
      </c>
      <c r="H195" s="10" t="s">
        <v>33</v>
      </c>
      <c r="I195" s="10" t="s">
        <v>156</v>
      </c>
      <c r="J195" s="11">
        <v>1.0</v>
      </c>
      <c r="K195" s="10">
        <v>8.0</v>
      </c>
      <c r="L195" s="10">
        <v>18.0</v>
      </c>
    </row>
    <row r="196" ht="15.75" customHeight="1">
      <c r="A196" s="11">
        <v>18.0</v>
      </c>
      <c r="B196" s="3" t="s">
        <v>13</v>
      </c>
      <c r="C196" s="10" t="s">
        <v>233</v>
      </c>
      <c r="D196" s="10" t="s">
        <v>233</v>
      </c>
      <c r="E196" s="5" t="str">
        <f t="shared" si="1"/>
        <v>2 - Frame TRUSSES DELIVERY</v>
      </c>
      <c r="F196" s="10" t="s">
        <v>314</v>
      </c>
      <c r="G196" s="10" t="s">
        <v>52</v>
      </c>
      <c r="H196" s="10" t="s">
        <v>33</v>
      </c>
      <c r="I196" s="10" t="s">
        <v>156</v>
      </c>
      <c r="J196" s="11">
        <v>1.0</v>
      </c>
      <c r="K196" s="10">
        <v>17.0</v>
      </c>
      <c r="L196" s="10">
        <v>19.0</v>
      </c>
    </row>
    <row r="197" ht="15.75" customHeight="1">
      <c r="A197" s="11">
        <v>19.0</v>
      </c>
      <c r="B197" s="3" t="s">
        <v>13</v>
      </c>
      <c r="C197" s="10" t="s">
        <v>233</v>
      </c>
      <c r="D197" s="10" t="s">
        <v>233</v>
      </c>
      <c r="E197" s="5" t="str">
        <f t="shared" si="1"/>
        <v>2 - Frame WINDOW DELIVERY</v>
      </c>
      <c r="F197" s="10" t="s">
        <v>315</v>
      </c>
      <c r="G197" s="10" t="s">
        <v>52</v>
      </c>
      <c r="H197" s="10" t="s">
        <v>33</v>
      </c>
      <c r="I197" s="10" t="s">
        <v>156</v>
      </c>
      <c r="J197" s="11">
        <v>1.0</v>
      </c>
      <c r="K197" s="10">
        <v>18.0</v>
      </c>
      <c r="L197" s="10">
        <v>20.0</v>
      </c>
    </row>
    <row r="198" ht="15.75" customHeight="1">
      <c r="A198" s="11">
        <v>20.0</v>
      </c>
      <c r="B198" s="3" t="s">
        <v>13</v>
      </c>
      <c r="C198" s="10" t="s">
        <v>233</v>
      </c>
      <c r="D198" s="10" t="s">
        <v>233</v>
      </c>
      <c r="E198" s="5" t="str">
        <f t="shared" si="1"/>
        <v>2 - Frame 1ST FIX CARPENTER LABOUR</v>
      </c>
      <c r="F198" s="10" t="s">
        <v>316</v>
      </c>
      <c r="G198" s="10" t="s">
        <v>52</v>
      </c>
      <c r="H198" s="10" t="s">
        <v>33</v>
      </c>
      <c r="I198" s="10" t="s">
        <v>156</v>
      </c>
      <c r="J198" s="11">
        <v>5.0</v>
      </c>
      <c r="K198" s="10">
        <v>19.0</v>
      </c>
      <c r="L198" s="10" t="s">
        <v>317</v>
      </c>
    </row>
    <row r="199" ht="15.75" customHeight="1">
      <c r="A199" s="11">
        <v>21.0</v>
      </c>
      <c r="B199" s="3" t="s">
        <v>13</v>
      </c>
      <c r="C199" s="10" t="s">
        <v>233</v>
      </c>
      <c r="D199" s="10" t="s">
        <v>233</v>
      </c>
      <c r="E199" s="5" t="str">
        <f t="shared" si="1"/>
        <v>2 - Frame Council Notification - Wall &amp; Roof Frame</v>
      </c>
      <c r="F199" s="10" t="s">
        <v>318</v>
      </c>
      <c r="G199" s="10" t="s">
        <v>52</v>
      </c>
      <c r="H199" s="10" t="s">
        <v>33</v>
      </c>
      <c r="I199" s="10" t="s">
        <v>296</v>
      </c>
      <c r="J199" s="11">
        <v>1.0</v>
      </c>
      <c r="K199" s="10">
        <v>20.0</v>
      </c>
      <c r="L199" s="10"/>
    </row>
    <row r="200" ht="15.75" customHeight="1">
      <c r="A200" s="11">
        <v>22.0</v>
      </c>
      <c r="B200" s="3" t="s">
        <v>13</v>
      </c>
      <c r="C200" s="10" t="s">
        <v>233</v>
      </c>
      <c r="D200" s="10" t="s">
        <v>233</v>
      </c>
      <c r="E200" s="5" t="str">
        <f t="shared" si="1"/>
        <v>2 - Frame Customer Notification - Wall &amp; Roof Frame Complete</v>
      </c>
      <c r="F200" s="10" t="s">
        <v>319</v>
      </c>
      <c r="G200" s="10" t="s">
        <v>52</v>
      </c>
      <c r="H200" s="10" t="s">
        <v>33</v>
      </c>
      <c r="I200" s="10" t="s">
        <v>296</v>
      </c>
      <c r="J200" s="11">
        <v>1.0</v>
      </c>
      <c r="K200" s="10">
        <v>20.0</v>
      </c>
      <c r="L200" s="10"/>
    </row>
    <row r="201" ht="15.75" customHeight="1">
      <c r="A201" s="11">
        <v>23.0</v>
      </c>
      <c r="B201" s="3" t="s">
        <v>13</v>
      </c>
      <c r="C201" s="10" t="s">
        <v>233</v>
      </c>
      <c r="D201" s="10" t="s">
        <v>233</v>
      </c>
      <c r="E201" s="5" t="str">
        <f t="shared" si="1"/>
        <v>2 - Frame Claim - Wall &amp; Roof Frame Stage</v>
      </c>
      <c r="F201" s="10" t="s">
        <v>320</v>
      </c>
      <c r="G201" s="10" t="s">
        <v>52</v>
      </c>
      <c r="H201" s="10" t="s">
        <v>33</v>
      </c>
      <c r="I201" s="10" t="s">
        <v>296</v>
      </c>
      <c r="J201" s="11">
        <v>0.0</v>
      </c>
      <c r="K201" s="10">
        <v>20.0</v>
      </c>
      <c r="L201" s="10"/>
    </row>
    <row r="202" ht="15.75" customHeight="1">
      <c r="A202" s="11">
        <v>24.0</v>
      </c>
      <c r="B202" s="3" t="s">
        <v>13</v>
      </c>
      <c r="C202" s="10" t="s">
        <v>233</v>
      </c>
      <c r="D202" s="10" t="s">
        <v>233</v>
      </c>
      <c r="E202" s="5" t="str">
        <f t="shared" si="1"/>
        <v>2 - Frame FRAME CHECK (3RD PARTY)</v>
      </c>
      <c r="F202" s="10" t="s">
        <v>321</v>
      </c>
      <c r="G202" s="10" t="s">
        <v>52</v>
      </c>
      <c r="H202" s="10" t="s">
        <v>33</v>
      </c>
      <c r="I202" s="10" t="s">
        <v>322</v>
      </c>
      <c r="J202" s="11">
        <v>1.0</v>
      </c>
      <c r="K202" s="10">
        <v>20.0</v>
      </c>
      <c r="L202" s="10" t="s">
        <v>323</v>
      </c>
    </row>
    <row r="203" ht="15.75" customHeight="1">
      <c r="A203" s="11">
        <v>25.0</v>
      </c>
      <c r="B203" s="3" t="s">
        <v>13</v>
      </c>
      <c r="C203" s="10" t="s">
        <v>233</v>
      </c>
      <c r="D203" s="10" t="s">
        <v>233</v>
      </c>
      <c r="E203" s="5" t="str">
        <f t="shared" si="1"/>
        <v>2 - Frame 1ST FIX PLUMBING</v>
      </c>
      <c r="F203" s="10" t="s">
        <v>324</v>
      </c>
      <c r="G203" s="10" t="s">
        <v>52</v>
      </c>
      <c r="H203" s="10" t="s">
        <v>33</v>
      </c>
      <c r="I203" s="10" t="s">
        <v>322</v>
      </c>
      <c r="J203" s="11">
        <v>1.0</v>
      </c>
      <c r="K203" s="10">
        <v>24.0</v>
      </c>
      <c r="L203" s="10"/>
    </row>
    <row r="204" ht="15.75" customHeight="1">
      <c r="A204" s="11">
        <v>26.0</v>
      </c>
      <c r="B204" s="3" t="s">
        <v>13</v>
      </c>
      <c r="C204" s="10" t="s">
        <v>233</v>
      </c>
      <c r="D204" s="10" t="s">
        <v>233</v>
      </c>
      <c r="E204" s="5" t="str">
        <f t="shared" si="1"/>
        <v>2 - Frame 1ST FIX GAS</v>
      </c>
      <c r="F204" s="10" t="s">
        <v>325</v>
      </c>
      <c r="G204" s="10" t="s">
        <v>52</v>
      </c>
      <c r="H204" s="10" t="s">
        <v>33</v>
      </c>
      <c r="I204" s="10" t="s">
        <v>322</v>
      </c>
      <c r="J204" s="11">
        <v>1.0</v>
      </c>
      <c r="K204" s="10">
        <v>24.0</v>
      </c>
      <c r="L204" s="10"/>
    </row>
    <row r="205" ht="15.75" customHeight="1">
      <c r="A205" s="11">
        <v>27.0</v>
      </c>
      <c r="B205" s="3" t="s">
        <v>13</v>
      </c>
      <c r="C205" s="10" t="s">
        <v>233</v>
      </c>
      <c r="D205" s="10" t="s">
        <v>233</v>
      </c>
      <c r="E205" s="5" t="str">
        <f t="shared" si="1"/>
        <v>2 - Frame CABINETRY MEASURE</v>
      </c>
      <c r="F205" s="10" t="s">
        <v>326</v>
      </c>
      <c r="G205" s="10" t="s">
        <v>52</v>
      </c>
      <c r="H205" s="10" t="s">
        <v>33</v>
      </c>
      <c r="I205" s="10" t="s">
        <v>322</v>
      </c>
      <c r="J205" s="11">
        <v>1.0</v>
      </c>
      <c r="K205" s="10">
        <v>24.0</v>
      </c>
      <c r="L205" s="10"/>
    </row>
    <row r="206" ht="15.75" customHeight="1">
      <c r="A206" s="11">
        <v>28.0</v>
      </c>
      <c r="B206" s="3" t="s">
        <v>13</v>
      </c>
      <c r="C206" s="10" t="s">
        <v>235</v>
      </c>
      <c r="D206" s="10" t="s">
        <v>235</v>
      </c>
      <c r="E206" s="5" t="str">
        <f t="shared" si="1"/>
        <v>4 - Roof Cover ROOFING INSTALL</v>
      </c>
      <c r="F206" s="10" t="s">
        <v>327</v>
      </c>
      <c r="G206" s="10" t="s">
        <v>52</v>
      </c>
      <c r="H206" s="10" t="s">
        <v>33</v>
      </c>
      <c r="I206" s="10" t="s">
        <v>322</v>
      </c>
      <c r="J206" s="11">
        <v>5.0</v>
      </c>
      <c r="K206" s="10">
        <v>20.0</v>
      </c>
      <c r="L206" s="10" t="s">
        <v>328</v>
      </c>
    </row>
    <row r="207" ht="15.75" customHeight="1">
      <c r="A207" s="11">
        <v>29.0</v>
      </c>
      <c r="B207" s="3" t="s">
        <v>13</v>
      </c>
      <c r="C207" s="10" t="s">
        <v>235</v>
      </c>
      <c r="D207" s="10" t="s">
        <v>235</v>
      </c>
      <c r="E207" s="5" t="str">
        <f t="shared" si="1"/>
        <v>4 - Roof Cover Customer Notification - Roof Cover Complete</v>
      </c>
      <c r="F207" s="10" t="s">
        <v>329</v>
      </c>
      <c r="G207" s="10" t="s">
        <v>52</v>
      </c>
      <c r="H207" s="10" t="s">
        <v>33</v>
      </c>
      <c r="I207" s="10" t="s">
        <v>296</v>
      </c>
      <c r="J207" s="11">
        <v>1.0</v>
      </c>
      <c r="K207" s="10">
        <v>28.0</v>
      </c>
      <c r="L207" s="10"/>
    </row>
    <row r="208" ht="15.75" customHeight="1">
      <c r="A208" s="11">
        <v>30.0</v>
      </c>
      <c r="B208" s="3" t="s">
        <v>13</v>
      </c>
      <c r="C208" s="10" t="s">
        <v>235</v>
      </c>
      <c r="D208" s="10" t="s">
        <v>235</v>
      </c>
      <c r="E208" s="5" t="str">
        <f t="shared" si="1"/>
        <v>4 - Roof Cover Claim - Roof Cover Stage</v>
      </c>
      <c r="F208" s="10" t="s">
        <v>330</v>
      </c>
      <c r="G208" s="10" t="s">
        <v>52</v>
      </c>
      <c r="H208" s="10" t="s">
        <v>33</v>
      </c>
      <c r="I208" s="10" t="s">
        <v>296</v>
      </c>
      <c r="J208" s="11">
        <v>0.0</v>
      </c>
      <c r="K208" s="10">
        <v>28.0</v>
      </c>
      <c r="L208" s="10"/>
    </row>
    <row r="209" ht="15.75" customHeight="1">
      <c r="A209" s="11">
        <v>31.0</v>
      </c>
      <c r="B209" s="3" t="s">
        <v>13</v>
      </c>
      <c r="C209" s="10" t="s">
        <v>235</v>
      </c>
      <c r="D209" s="10" t="s">
        <v>235</v>
      </c>
      <c r="E209" s="5" t="str">
        <f t="shared" si="1"/>
        <v>4 - Roof Cover VELUXE / SKYLIGHT INSTALL</v>
      </c>
      <c r="F209" s="10" t="s">
        <v>331</v>
      </c>
      <c r="G209" s="10" t="s">
        <v>52</v>
      </c>
      <c r="H209" s="10" t="s">
        <v>33</v>
      </c>
      <c r="I209" s="10" t="s">
        <v>322</v>
      </c>
      <c r="J209" s="11">
        <v>1.0</v>
      </c>
      <c r="K209" s="10">
        <v>28.0</v>
      </c>
      <c r="L209" s="10">
        <v>32.0</v>
      </c>
    </row>
    <row r="210" ht="15.75" customHeight="1">
      <c r="A210" s="11">
        <v>32.0</v>
      </c>
      <c r="B210" s="3" t="s">
        <v>13</v>
      </c>
      <c r="C210" s="10" t="s">
        <v>235</v>
      </c>
      <c r="D210" s="10" t="s">
        <v>235</v>
      </c>
      <c r="E210" s="5" t="str">
        <f t="shared" si="1"/>
        <v>4 - Roof Cover SOLAR INSTALL (1)</v>
      </c>
      <c r="F210" s="10" t="s">
        <v>332</v>
      </c>
      <c r="G210" s="10" t="s">
        <v>52</v>
      </c>
      <c r="H210" s="10" t="s">
        <v>33</v>
      </c>
      <c r="I210" s="10" t="s">
        <v>322</v>
      </c>
      <c r="J210" s="11">
        <v>1.0</v>
      </c>
      <c r="K210" s="10" t="s">
        <v>333</v>
      </c>
      <c r="L210" s="10"/>
    </row>
    <row r="211" ht="15.75" customHeight="1">
      <c r="A211" s="11">
        <v>33.0</v>
      </c>
      <c r="B211" s="3" t="s">
        <v>13</v>
      </c>
      <c r="C211" s="10" t="s">
        <v>235</v>
      </c>
      <c r="D211" s="10" t="s">
        <v>235</v>
      </c>
      <c r="E211" s="5" t="str">
        <f t="shared" si="1"/>
        <v>4 - Roof Cover TERMITE TREATMENT</v>
      </c>
      <c r="F211" s="10" t="s">
        <v>334</v>
      </c>
      <c r="G211" s="10" t="s">
        <v>52</v>
      </c>
      <c r="H211" s="10" t="s">
        <v>33</v>
      </c>
      <c r="I211" s="10" t="s">
        <v>322</v>
      </c>
      <c r="J211" s="11">
        <v>1.0</v>
      </c>
      <c r="K211" s="10">
        <v>20.0</v>
      </c>
      <c r="L211" s="10"/>
    </row>
    <row r="212" ht="15.75" customHeight="1">
      <c r="A212" s="11">
        <v>34.0</v>
      </c>
      <c r="B212" s="3" t="s">
        <v>13</v>
      </c>
      <c r="C212" s="10" t="s">
        <v>238</v>
      </c>
      <c r="D212" s="10" t="s">
        <v>238</v>
      </c>
      <c r="E212" s="5" t="str">
        <f t="shared" si="1"/>
        <v>3 - External Cladding SAND / CEMENT / HWS BOX DELIVERY</v>
      </c>
      <c r="F212" s="10" t="s">
        <v>335</v>
      </c>
      <c r="G212" s="10" t="s">
        <v>52</v>
      </c>
      <c r="H212" s="10" t="s">
        <v>33</v>
      </c>
      <c r="I212" s="10" t="s">
        <v>322</v>
      </c>
      <c r="J212" s="11">
        <v>1.0</v>
      </c>
      <c r="K212" s="10">
        <v>28.0</v>
      </c>
      <c r="L212" s="10" t="s">
        <v>336</v>
      </c>
    </row>
    <row r="213" ht="15.75" customHeight="1">
      <c r="A213" s="11">
        <v>35.0</v>
      </c>
      <c r="B213" s="3" t="s">
        <v>13</v>
      </c>
      <c r="C213" s="10" t="s">
        <v>238</v>
      </c>
      <c r="D213" s="10" t="s">
        <v>238</v>
      </c>
      <c r="E213" s="5" t="str">
        <f t="shared" si="1"/>
        <v>3 - External Cladding LOWER CLADDING</v>
      </c>
      <c r="F213" s="10" t="s">
        <v>337</v>
      </c>
      <c r="G213" s="10" t="s">
        <v>52</v>
      </c>
      <c r="H213" s="10" t="s">
        <v>33</v>
      </c>
      <c r="I213" s="10" t="s">
        <v>322</v>
      </c>
      <c r="J213" s="11">
        <v>10.0</v>
      </c>
      <c r="K213" s="10">
        <v>34.0</v>
      </c>
      <c r="L213" s="10" t="s">
        <v>338</v>
      </c>
    </row>
    <row r="214" ht="15.75" customHeight="1">
      <c r="A214" s="11">
        <v>36.0</v>
      </c>
      <c r="B214" s="3" t="s">
        <v>13</v>
      </c>
      <c r="C214" s="10" t="s">
        <v>238</v>
      </c>
      <c r="D214" s="10" t="s">
        <v>238</v>
      </c>
      <c r="E214" s="5" t="str">
        <f t="shared" si="1"/>
        <v>3 - External Cladding GAS BOX DELIVERY</v>
      </c>
      <c r="F214" s="10" t="s">
        <v>339</v>
      </c>
      <c r="G214" s="10" t="s">
        <v>52</v>
      </c>
      <c r="H214" s="10" t="s">
        <v>33</v>
      </c>
      <c r="I214" s="10" t="s">
        <v>322</v>
      </c>
      <c r="J214" s="11">
        <v>1.0</v>
      </c>
      <c r="K214" s="10">
        <v>34.0</v>
      </c>
      <c r="L214" s="10"/>
    </row>
    <row r="215" ht="15.75" customHeight="1">
      <c r="A215" s="11">
        <v>37.0</v>
      </c>
      <c r="B215" s="3" t="s">
        <v>13</v>
      </c>
      <c r="C215" s="10" t="s">
        <v>238</v>
      </c>
      <c r="D215" s="10" t="s">
        <v>238</v>
      </c>
      <c r="E215" s="5" t="str">
        <f t="shared" si="1"/>
        <v>3 - External Cladding GAS BOX INSTALL</v>
      </c>
      <c r="F215" s="10" t="s">
        <v>340</v>
      </c>
      <c r="G215" s="10" t="s">
        <v>52</v>
      </c>
      <c r="H215" s="10" t="s">
        <v>33</v>
      </c>
      <c r="I215" s="10" t="s">
        <v>322</v>
      </c>
      <c r="J215" s="11">
        <v>1.0</v>
      </c>
      <c r="K215" s="10">
        <v>34.0</v>
      </c>
      <c r="L215" s="10"/>
    </row>
    <row r="216" ht="15.75" customHeight="1">
      <c r="A216" s="11">
        <v>38.0</v>
      </c>
      <c r="B216" s="3" t="s">
        <v>13</v>
      </c>
      <c r="C216" s="10" t="s">
        <v>238</v>
      </c>
      <c r="D216" s="10" t="s">
        <v>238</v>
      </c>
      <c r="E216" s="5" t="str">
        <f t="shared" si="1"/>
        <v>3 - External Cladding Council Notification - External Cladding</v>
      </c>
      <c r="F216" s="10" t="s">
        <v>341</v>
      </c>
      <c r="G216" s="10" t="s">
        <v>52</v>
      </c>
      <c r="H216" s="10" t="s">
        <v>33</v>
      </c>
      <c r="I216" s="10" t="s">
        <v>296</v>
      </c>
      <c r="J216" s="11">
        <v>1.0</v>
      </c>
      <c r="K216" s="10">
        <v>35.0</v>
      </c>
      <c r="L216" s="10"/>
    </row>
    <row r="217" ht="15.75" customHeight="1">
      <c r="A217" s="11">
        <v>39.0</v>
      </c>
      <c r="B217" s="3" t="s">
        <v>13</v>
      </c>
      <c r="C217" s="10" t="s">
        <v>238</v>
      </c>
      <c r="D217" s="10" t="s">
        <v>238</v>
      </c>
      <c r="E217" s="5" t="str">
        <f t="shared" si="1"/>
        <v>3 - External Cladding Customer Notification - External Cladding Complete</v>
      </c>
      <c r="F217" s="10" t="s">
        <v>342</v>
      </c>
      <c r="G217" s="10" t="s">
        <v>52</v>
      </c>
      <c r="H217" s="10" t="s">
        <v>33</v>
      </c>
      <c r="I217" s="10" t="s">
        <v>296</v>
      </c>
      <c r="J217" s="11">
        <v>1.0</v>
      </c>
      <c r="K217" s="10">
        <v>35.0</v>
      </c>
      <c r="L217" s="10"/>
    </row>
    <row r="218" ht="15.75" customHeight="1">
      <c r="A218" s="11">
        <v>40.0</v>
      </c>
      <c r="B218" s="3" t="s">
        <v>13</v>
      </c>
      <c r="C218" s="10" t="s">
        <v>238</v>
      </c>
      <c r="D218" s="10" t="s">
        <v>238</v>
      </c>
      <c r="E218" s="5" t="str">
        <f t="shared" si="1"/>
        <v>3 - External Cladding Claim - External Cladding Stage</v>
      </c>
      <c r="F218" s="10" t="s">
        <v>343</v>
      </c>
      <c r="G218" s="10" t="s">
        <v>52</v>
      </c>
      <c r="H218" s="10" t="s">
        <v>33</v>
      </c>
      <c r="I218" s="10" t="s">
        <v>296</v>
      </c>
      <c r="J218" s="11">
        <v>0.0</v>
      </c>
      <c r="K218" s="10">
        <v>35.0</v>
      </c>
      <c r="L218" s="10"/>
    </row>
    <row r="219" ht="15.75" customHeight="1">
      <c r="A219" s="11">
        <v>41.0</v>
      </c>
      <c r="B219" s="3" t="s">
        <v>13</v>
      </c>
      <c r="C219" s="10" t="s">
        <v>238</v>
      </c>
      <c r="D219" s="10" t="s">
        <v>238</v>
      </c>
      <c r="E219" s="5" t="str">
        <f t="shared" si="1"/>
        <v>3 - External Cladding POST CLADDING ITEMS</v>
      </c>
      <c r="F219" s="10" t="s">
        <v>344</v>
      </c>
      <c r="G219" s="10" t="s">
        <v>52</v>
      </c>
      <c r="H219" s="10" t="s">
        <v>33</v>
      </c>
      <c r="I219" s="10"/>
      <c r="J219" s="11">
        <v>12.0</v>
      </c>
      <c r="K219" s="10"/>
      <c r="L219" s="10"/>
    </row>
    <row r="220" ht="15.75" customHeight="1">
      <c r="A220" s="11">
        <v>42.0</v>
      </c>
      <c r="B220" s="3" t="s">
        <v>13</v>
      </c>
      <c r="C220" s="10" t="s">
        <v>238</v>
      </c>
      <c r="D220" s="10" t="s">
        <v>238</v>
      </c>
      <c r="E220" s="5" t="str">
        <f t="shared" si="1"/>
        <v>3 - External Cladding LOWER EAVES DELIVERY</v>
      </c>
      <c r="F220" s="10" t="s">
        <v>345</v>
      </c>
      <c r="G220" s="10" t="s">
        <v>52</v>
      </c>
      <c r="H220" s="10" t="s">
        <v>33</v>
      </c>
      <c r="I220" s="10" t="s">
        <v>322</v>
      </c>
      <c r="J220" s="11">
        <v>1.0</v>
      </c>
      <c r="K220" s="10">
        <v>35.0</v>
      </c>
      <c r="L220" s="10">
        <v>43.0</v>
      </c>
    </row>
    <row r="221" ht="15.75" customHeight="1">
      <c r="A221" s="11">
        <v>43.0</v>
      </c>
      <c r="B221" s="3" t="s">
        <v>13</v>
      </c>
      <c r="C221" s="10" t="s">
        <v>238</v>
      </c>
      <c r="D221" s="10" t="s">
        <v>238</v>
      </c>
      <c r="E221" s="5" t="str">
        <f t="shared" si="1"/>
        <v>3 - External Cladding LOWER EAVES INSTALL</v>
      </c>
      <c r="F221" s="10" t="s">
        <v>346</v>
      </c>
      <c r="G221" s="10" t="s">
        <v>52</v>
      </c>
      <c r="H221" s="10" t="s">
        <v>33</v>
      </c>
      <c r="I221" s="10" t="s">
        <v>322</v>
      </c>
      <c r="J221" s="11">
        <v>3.0</v>
      </c>
      <c r="K221" s="10">
        <v>42.0</v>
      </c>
      <c r="L221" s="10">
        <v>44.0</v>
      </c>
    </row>
    <row r="222" ht="15.75" customHeight="1">
      <c r="A222" s="11">
        <v>44.0</v>
      </c>
      <c r="B222" s="3" t="s">
        <v>13</v>
      </c>
      <c r="C222" s="10" t="s">
        <v>238</v>
      </c>
      <c r="D222" s="10" t="s">
        <v>238</v>
      </c>
      <c r="E222" s="5" t="str">
        <f t="shared" si="1"/>
        <v>3 - External Cladding RENDER</v>
      </c>
      <c r="F222" s="10" t="s">
        <v>347</v>
      </c>
      <c r="G222" s="10" t="s">
        <v>52</v>
      </c>
      <c r="H222" s="10" t="s">
        <v>33</v>
      </c>
      <c r="I222" s="10" t="s">
        <v>322</v>
      </c>
      <c r="J222" s="11">
        <v>3.0</v>
      </c>
      <c r="K222" s="10">
        <v>43.0</v>
      </c>
      <c r="L222" s="10">
        <v>45.0</v>
      </c>
    </row>
    <row r="223" ht="15.75" customHeight="1">
      <c r="A223" s="11">
        <v>45.0</v>
      </c>
      <c r="B223" s="3" t="s">
        <v>13</v>
      </c>
      <c r="C223" s="10" t="s">
        <v>238</v>
      </c>
      <c r="D223" s="10" t="s">
        <v>238</v>
      </c>
      <c r="E223" s="5" t="str">
        <f t="shared" si="1"/>
        <v>3 - External Cladding BRICK CLEAN</v>
      </c>
      <c r="F223" s="10" t="s">
        <v>348</v>
      </c>
      <c r="G223" s="10" t="s">
        <v>52</v>
      </c>
      <c r="H223" s="10" t="s">
        <v>33</v>
      </c>
      <c r="I223" s="10" t="s">
        <v>322</v>
      </c>
      <c r="J223" s="11">
        <v>1.0</v>
      </c>
      <c r="K223" s="10">
        <v>44.0</v>
      </c>
      <c r="L223" s="10">
        <v>46.0</v>
      </c>
    </row>
    <row r="224" ht="15.75" customHeight="1">
      <c r="A224" s="11">
        <v>46.0</v>
      </c>
      <c r="B224" s="3" t="s">
        <v>13</v>
      </c>
      <c r="C224" s="10" t="s">
        <v>238</v>
      </c>
      <c r="D224" s="10" t="s">
        <v>238</v>
      </c>
      <c r="E224" s="5" t="str">
        <f t="shared" si="1"/>
        <v>3 - External Cladding GARAGE DOOR MEASURE</v>
      </c>
      <c r="F224" s="10" t="s">
        <v>349</v>
      </c>
      <c r="G224" s="10" t="s">
        <v>52</v>
      </c>
      <c r="H224" s="10" t="s">
        <v>33</v>
      </c>
      <c r="I224" s="10" t="s">
        <v>322</v>
      </c>
      <c r="J224" s="11">
        <v>1.0</v>
      </c>
      <c r="K224" s="10">
        <v>45.0</v>
      </c>
      <c r="L224" s="10">
        <v>47.0</v>
      </c>
    </row>
    <row r="225" ht="15.75" customHeight="1">
      <c r="A225" s="11">
        <v>47.0</v>
      </c>
      <c r="B225" s="3" t="s">
        <v>13</v>
      </c>
      <c r="C225" s="10" t="s">
        <v>238</v>
      </c>
      <c r="D225" s="10" t="s">
        <v>238</v>
      </c>
      <c r="E225" s="5" t="str">
        <f t="shared" si="1"/>
        <v>3 - External Cladding LOWER DOWNPIPE INSTALL</v>
      </c>
      <c r="F225" s="10" t="s">
        <v>350</v>
      </c>
      <c r="G225" s="10" t="s">
        <v>52</v>
      </c>
      <c r="H225" s="10" t="s">
        <v>33</v>
      </c>
      <c r="I225" s="10" t="s">
        <v>322</v>
      </c>
      <c r="J225" s="11">
        <v>1.0</v>
      </c>
      <c r="K225" s="10">
        <v>46.0</v>
      </c>
      <c r="L225" s="10">
        <v>48.0</v>
      </c>
    </row>
    <row r="226" ht="15.75" customHeight="1">
      <c r="A226" s="11">
        <v>48.0</v>
      </c>
      <c r="B226" s="3" t="s">
        <v>13</v>
      </c>
      <c r="C226" s="10" t="s">
        <v>238</v>
      </c>
      <c r="D226" s="10" t="s">
        <v>238</v>
      </c>
      <c r="E226" s="5" t="str">
        <f t="shared" si="1"/>
        <v>3 - External Cladding STORMWATER CONNECTION</v>
      </c>
      <c r="F226" s="10" t="s">
        <v>351</v>
      </c>
      <c r="G226" s="10" t="s">
        <v>52</v>
      </c>
      <c r="H226" s="10" t="s">
        <v>33</v>
      </c>
      <c r="I226" s="10" t="s">
        <v>322</v>
      </c>
      <c r="J226" s="11">
        <v>1.0</v>
      </c>
      <c r="K226" s="10">
        <v>47.0</v>
      </c>
      <c r="L226" s="10">
        <v>49.0</v>
      </c>
    </row>
    <row r="227" ht="15.75" customHeight="1">
      <c r="A227" s="11">
        <v>49.0</v>
      </c>
      <c r="B227" s="3" t="s">
        <v>13</v>
      </c>
      <c r="C227" s="10" t="s">
        <v>238</v>
      </c>
      <c r="D227" s="10" t="s">
        <v>238</v>
      </c>
      <c r="E227" s="5" t="str">
        <f t="shared" si="1"/>
        <v>3 - External Cladding CALL UP GAS RUN IN</v>
      </c>
      <c r="F227" s="10" t="s">
        <v>352</v>
      </c>
      <c r="G227" s="10" t="s">
        <v>52</v>
      </c>
      <c r="H227" s="10" t="s">
        <v>33</v>
      </c>
      <c r="I227" s="10" t="s">
        <v>322</v>
      </c>
      <c r="J227" s="11">
        <v>1.0</v>
      </c>
      <c r="K227" s="10">
        <v>48.0</v>
      </c>
      <c r="L227" s="10"/>
    </row>
    <row r="228" ht="15.75" customHeight="1">
      <c r="A228" s="11">
        <v>50.0</v>
      </c>
      <c r="B228" s="3" t="s">
        <v>13</v>
      </c>
      <c r="C228" s="10" t="s">
        <v>239</v>
      </c>
      <c r="D228" s="10" t="s">
        <v>239</v>
      </c>
      <c r="E228" s="5" t="str">
        <f t="shared" si="1"/>
        <v>5 - 2nd Fix 1ST FIX</v>
      </c>
      <c r="F228" s="10" t="s">
        <v>353</v>
      </c>
      <c r="G228" s="10" t="s">
        <v>52</v>
      </c>
      <c r="H228" s="10" t="s">
        <v>33</v>
      </c>
      <c r="I228" s="10"/>
      <c r="J228" s="11">
        <v>25.0</v>
      </c>
      <c r="K228" s="10"/>
      <c r="L228" s="10"/>
    </row>
    <row r="229" ht="15.75" customHeight="1">
      <c r="A229" s="11">
        <v>51.0</v>
      </c>
      <c r="B229" s="3" t="s">
        <v>13</v>
      </c>
      <c r="C229" s="10" t="s">
        <v>239</v>
      </c>
      <c r="D229" s="10" t="s">
        <v>239</v>
      </c>
      <c r="E229" s="5" t="str">
        <f t="shared" si="1"/>
        <v>5 - 2nd Fix STUD CHECK / FRAME OUT VELUXE</v>
      </c>
      <c r="F229" s="10" t="s">
        <v>354</v>
      </c>
      <c r="G229" s="10" t="s">
        <v>52</v>
      </c>
      <c r="H229" s="10" t="s">
        <v>33</v>
      </c>
      <c r="I229" s="10" t="s">
        <v>322</v>
      </c>
      <c r="J229" s="11">
        <v>1.0</v>
      </c>
      <c r="K229" s="10">
        <v>35.0</v>
      </c>
      <c r="L229" s="10" t="s">
        <v>355</v>
      </c>
    </row>
    <row r="230" ht="15.75" customHeight="1">
      <c r="A230" s="11">
        <v>52.0</v>
      </c>
      <c r="B230" s="3" t="s">
        <v>13</v>
      </c>
      <c r="C230" s="10" t="s">
        <v>239</v>
      </c>
      <c r="D230" s="10" t="s">
        <v>239</v>
      </c>
      <c r="E230" s="5" t="str">
        <f t="shared" si="1"/>
        <v>5 - 2nd Fix 1ST FIX ELECTRICAL</v>
      </c>
      <c r="F230" s="10" t="s">
        <v>356</v>
      </c>
      <c r="G230" s="10" t="s">
        <v>52</v>
      </c>
      <c r="H230" s="10" t="s">
        <v>33</v>
      </c>
      <c r="I230" s="10" t="s">
        <v>322</v>
      </c>
      <c r="J230" s="11">
        <v>2.0</v>
      </c>
      <c r="K230" s="10">
        <v>51.0</v>
      </c>
      <c r="L230" s="10">
        <v>58.0</v>
      </c>
    </row>
    <row r="231" ht="15.75" customHeight="1">
      <c r="A231" s="11">
        <v>53.0</v>
      </c>
      <c r="B231" s="3" t="s">
        <v>13</v>
      </c>
      <c r="C231" s="10" t="s">
        <v>239</v>
      </c>
      <c r="D231" s="10" t="s">
        <v>239</v>
      </c>
      <c r="E231" s="5" t="str">
        <f t="shared" si="1"/>
        <v>5 - 2nd Fix SOLAR INSTALL (2)</v>
      </c>
      <c r="F231" s="10" t="s">
        <v>357</v>
      </c>
      <c r="G231" s="10" t="s">
        <v>52</v>
      </c>
      <c r="H231" s="10" t="s">
        <v>33</v>
      </c>
      <c r="I231" s="10" t="s">
        <v>322</v>
      </c>
      <c r="J231" s="11">
        <v>1.0</v>
      </c>
      <c r="K231" s="10">
        <v>51.0</v>
      </c>
      <c r="L231" s="10">
        <v>58.0</v>
      </c>
    </row>
    <row r="232" ht="15.75" customHeight="1">
      <c r="A232" s="11">
        <v>54.0</v>
      </c>
      <c r="B232" s="3" t="s">
        <v>13</v>
      </c>
      <c r="C232" s="10" t="s">
        <v>239</v>
      </c>
      <c r="D232" s="10" t="s">
        <v>239</v>
      </c>
      <c r="E232" s="5" t="str">
        <f t="shared" si="1"/>
        <v>5 - 2nd Fix 1ST FIX ALARM / SECURITY</v>
      </c>
      <c r="F232" s="10" t="s">
        <v>358</v>
      </c>
      <c r="G232" s="10" t="s">
        <v>52</v>
      </c>
      <c r="H232" s="10" t="s">
        <v>33</v>
      </c>
      <c r="I232" s="10" t="s">
        <v>322</v>
      </c>
      <c r="J232" s="11">
        <v>1.0</v>
      </c>
      <c r="K232" s="10">
        <v>51.0</v>
      </c>
      <c r="L232" s="10">
        <v>58.0</v>
      </c>
    </row>
    <row r="233" ht="15.75" customHeight="1">
      <c r="A233" s="11">
        <v>55.0</v>
      </c>
      <c r="B233" s="3" t="s">
        <v>13</v>
      </c>
      <c r="C233" s="10" t="s">
        <v>239</v>
      </c>
      <c r="D233" s="10" t="s">
        <v>239</v>
      </c>
      <c r="E233" s="5" t="str">
        <f t="shared" si="1"/>
        <v>5 - 2nd Fix 1ST FIX AIRCON</v>
      </c>
      <c r="F233" s="10" t="s">
        <v>359</v>
      </c>
      <c r="G233" s="10" t="s">
        <v>52</v>
      </c>
      <c r="H233" s="10" t="s">
        <v>33</v>
      </c>
      <c r="I233" s="10" t="s">
        <v>322</v>
      </c>
      <c r="J233" s="11">
        <v>1.0</v>
      </c>
      <c r="K233" s="10">
        <v>51.0</v>
      </c>
      <c r="L233" s="10">
        <v>58.0</v>
      </c>
    </row>
    <row r="234" ht="15.75" customHeight="1">
      <c r="A234" s="11">
        <v>56.0</v>
      </c>
      <c r="B234" s="3" t="s">
        <v>13</v>
      </c>
      <c r="C234" s="10" t="s">
        <v>239</v>
      </c>
      <c r="D234" s="10" t="s">
        <v>239</v>
      </c>
      <c r="E234" s="5" t="str">
        <f t="shared" si="1"/>
        <v>5 - 2nd Fix TILES DELIVERY</v>
      </c>
      <c r="F234" s="10" t="s">
        <v>360</v>
      </c>
      <c r="G234" s="10" t="s">
        <v>52</v>
      </c>
      <c r="H234" s="10" t="s">
        <v>33</v>
      </c>
      <c r="I234" s="10" t="s">
        <v>322</v>
      </c>
      <c r="J234" s="11">
        <v>1.0</v>
      </c>
      <c r="K234" s="10">
        <v>51.0</v>
      </c>
      <c r="L234" s="10"/>
    </row>
    <row r="235" ht="15.75" customHeight="1">
      <c r="A235" s="11">
        <v>57.0</v>
      </c>
      <c r="B235" s="3" t="s">
        <v>13</v>
      </c>
      <c r="C235" s="10" t="s">
        <v>239</v>
      </c>
      <c r="D235" s="10" t="s">
        <v>239</v>
      </c>
      <c r="E235" s="5" t="str">
        <f t="shared" si="1"/>
        <v>5 - 2nd Fix 2ND FIX DELIVERY</v>
      </c>
      <c r="F235" s="10" t="s">
        <v>361</v>
      </c>
      <c r="G235" s="10" t="s">
        <v>52</v>
      </c>
      <c r="H235" s="10" t="s">
        <v>33</v>
      </c>
      <c r="I235" s="10" t="s">
        <v>322</v>
      </c>
      <c r="J235" s="11">
        <v>1.0</v>
      </c>
      <c r="K235" s="10">
        <v>51.0</v>
      </c>
      <c r="L235" s="10">
        <v>63.0</v>
      </c>
    </row>
    <row r="236" ht="15.75" customHeight="1">
      <c r="A236" s="11">
        <v>58.0</v>
      </c>
      <c r="B236" s="3" t="s">
        <v>13</v>
      </c>
      <c r="C236" s="10" t="s">
        <v>239</v>
      </c>
      <c r="D236" s="10" t="s">
        <v>239</v>
      </c>
      <c r="E236" s="5" t="str">
        <f t="shared" si="1"/>
        <v>5 - 2nd Fix GYPROCK INSTALL</v>
      </c>
      <c r="F236" s="10" t="s">
        <v>362</v>
      </c>
      <c r="G236" s="10" t="s">
        <v>52</v>
      </c>
      <c r="H236" s="10" t="s">
        <v>33</v>
      </c>
      <c r="I236" s="10" t="s">
        <v>322</v>
      </c>
      <c r="J236" s="11">
        <v>14.0</v>
      </c>
      <c r="K236" s="10" t="s">
        <v>363</v>
      </c>
      <c r="L236" s="10">
        <v>59.0</v>
      </c>
    </row>
    <row r="237" ht="15.75" customHeight="1">
      <c r="A237" s="11">
        <v>59.0</v>
      </c>
      <c r="B237" s="3" t="s">
        <v>13</v>
      </c>
      <c r="C237" s="10" t="s">
        <v>239</v>
      </c>
      <c r="D237" s="10" t="s">
        <v>239</v>
      </c>
      <c r="E237" s="5" t="str">
        <f t="shared" si="1"/>
        <v>5 - 2nd Fix ELECTRICAL CUTOUTS</v>
      </c>
      <c r="F237" s="10" t="s">
        <v>364</v>
      </c>
      <c r="G237" s="10" t="s">
        <v>52</v>
      </c>
      <c r="H237" s="10" t="s">
        <v>33</v>
      </c>
      <c r="I237" s="10" t="s">
        <v>322</v>
      </c>
      <c r="J237" s="11">
        <v>1.0</v>
      </c>
      <c r="K237" s="10">
        <v>58.0</v>
      </c>
      <c r="L237" s="10">
        <v>60.0</v>
      </c>
    </row>
    <row r="238" ht="15.75" customHeight="1">
      <c r="A238" s="11">
        <v>60.0</v>
      </c>
      <c r="B238" s="3" t="s">
        <v>13</v>
      </c>
      <c r="C238" s="10" t="s">
        <v>239</v>
      </c>
      <c r="D238" s="10" t="s">
        <v>239</v>
      </c>
      <c r="E238" s="5" t="str">
        <f t="shared" si="1"/>
        <v>5 - 2nd Fix WATERPROOFING</v>
      </c>
      <c r="F238" s="10" t="s">
        <v>365</v>
      </c>
      <c r="G238" s="10" t="s">
        <v>52</v>
      </c>
      <c r="H238" s="10" t="s">
        <v>33</v>
      </c>
      <c r="I238" s="10" t="s">
        <v>322</v>
      </c>
      <c r="J238" s="11">
        <v>1.0</v>
      </c>
      <c r="K238" s="10">
        <v>59.0</v>
      </c>
      <c r="L238" s="10" t="s">
        <v>366</v>
      </c>
    </row>
    <row r="239" ht="15.75" customHeight="1">
      <c r="A239" s="11">
        <v>61.0</v>
      </c>
      <c r="B239" s="3" t="s">
        <v>13</v>
      </c>
      <c r="C239" s="10" t="s">
        <v>239</v>
      </c>
      <c r="D239" s="10" t="s">
        <v>239</v>
      </c>
      <c r="E239" s="5" t="str">
        <f t="shared" si="1"/>
        <v>5 - 2nd Fix Council Notification - Waterproofing</v>
      </c>
      <c r="F239" s="10" t="s">
        <v>367</v>
      </c>
      <c r="G239" s="10" t="s">
        <v>52</v>
      </c>
      <c r="H239" s="10" t="s">
        <v>33</v>
      </c>
      <c r="I239" s="10" t="s">
        <v>296</v>
      </c>
      <c r="J239" s="11">
        <v>1.0</v>
      </c>
      <c r="K239" s="10">
        <v>60.0</v>
      </c>
      <c r="L239" s="10"/>
    </row>
    <row r="240" ht="15.75" customHeight="1">
      <c r="A240" s="11">
        <v>62.0</v>
      </c>
      <c r="B240" s="3" t="s">
        <v>13</v>
      </c>
      <c r="C240" s="10" t="s">
        <v>239</v>
      </c>
      <c r="D240" s="10" t="s">
        <v>239</v>
      </c>
      <c r="E240" s="5" t="str">
        <f t="shared" si="1"/>
        <v>5 - 2nd Fix SCREEDING (TILER)</v>
      </c>
      <c r="F240" s="10" t="s">
        <v>368</v>
      </c>
      <c r="G240" s="10" t="s">
        <v>52</v>
      </c>
      <c r="H240" s="10" t="s">
        <v>33</v>
      </c>
      <c r="I240" s="10" t="s">
        <v>322</v>
      </c>
      <c r="J240" s="11">
        <v>1.0</v>
      </c>
      <c r="K240" s="10">
        <v>60.0</v>
      </c>
      <c r="L240" s="10">
        <v>63.0</v>
      </c>
    </row>
    <row r="241" ht="15.75" customHeight="1">
      <c r="A241" s="11">
        <v>63.0</v>
      </c>
      <c r="B241" s="3" t="s">
        <v>13</v>
      </c>
      <c r="C241" s="10" t="s">
        <v>239</v>
      </c>
      <c r="D241" s="10" t="s">
        <v>239</v>
      </c>
      <c r="E241" s="5" t="str">
        <f t="shared" si="1"/>
        <v>5 - 2nd Fix 2ND FIX CARPENTRY LABOUR</v>
      </c>
      <c r="F241" s="10" t="s">
        <v>369</v>
      </c>
      <c r="G241" s="10" t="s">
        <v>52</v>
      </c>
      <c r="H241" s="10" t="s">
        <v>33</v>
      </c>
      <c r="I241" s="10" t="s">
        <v>322</v>
      </c>
      <c r="J241" s="11">
        <v>4.0</v>
      </c>
      <c r="K241" s="10" t="s">
        <v>370</v>
      </c>
      <c r="L241" s="10" t="s">
        <v>371</v>
      </c>
    </row>
    <row r="242" ht="15.75" customHeight="1">
      <c r="A242" s="11">
        <v>64.0</v>
      </c>
      <c r="B242" s="3" t="s">
        <v>13</v>
      </c>
      <c r="C242" s="10" t="s">
        <v>239</v>
      </c>
      <c r="D242" s="10" t="s">
        <v>239</v>
      </c>
      <c r="E242" s="5" t="str">
        <f t="shared" si="1"/>
        <v>5 - 2nd Fix Customer Notification - 2nd Fix Complete</v>
      </c>
      <c r="F242" s="10" t="s">
        <v>372</v>
      </c>
      <c r="G242" s="10" t="s">
        <v>52</v>
      </c>
      <c r="H242" s="10" t="s">
        <v>33</v>
      </c>
      <c r="I242" s="10" t="s">
        <v>296</v>
      </c>
      <c r="J242" s="11">
        <v>1.0</v>
      </c>
      <c r="K242" s="10">
        <v>63.0</v>
      </c>
      <c r="L242" s="10"/>
    </row>
    <row r="243" ht="15.75" customHeight="1">
      <c r="A243" s="11">
        <v>65.0</v>
      </c>
      <c r="B243" s="3" t="s">
        <v>13</v>
      </c>
      <c r="C243" s="10" t="s">
        <v>239</v>
      </c>
      <c r="D243" s="10" t="s">
        <v>239</v>
      </c>
      <c r="E243" s="5" t="str">
        <f t="shared" si="1"/>
        <v>5 - 2nd Fix Claim - 2nd Fix Stage</v>
      </c>
      <c r="F243" s="10" t="s">
        <v>373</v>
      </c>
      <c r="G243" s="10" t="s">
        <v>52</v>
      </c>
      <c r="H243" s="10" t="s">
        <v>33</v>
      </c>
      <c r="I243" s="10" t="s">
        <v>296</v>
      </c>
      <c r="J243" s="11">
        <v>0.0</v>
      </c>
      <c r="K243" s="10">
        <v>63.0</v>
      </c>
      <c r="L243" s="10"/>
    </row>
    <row r="244" ht="15.75" customHeight="1">
      <c r="A244" s="11">
        <v>66.0</v>
      </c>
      <c r="B244" s="3" t="s">
        <v>13</v>
      </c>
      <c r="C244" s="10" t="s">
        <v>241</v>
      </c>
      <c r="D244" s="10" t="s">
        <v>241</v>
      </c>
      <c r="E244" s="5" t="str">
        <f t="shared" si="1"/>
        <v>6 - Practical Completion INTERNAL FITOUT</v>
      </c>
      <c r="F244" s="10" t="s">
        <v>374</v>
      </c>
      <c r="G244" s="10" t="s">
        <v>52</v>
      </c>
      <c r="H244" s="10" t="s">
        <v>33</v>
      </c>
      <c r="I244" s="10"/>
      <c r="J244" s="11">
        <v>15.0</v>
      </c>
      <c r="K244" s="10"/>
      <c r="L244" s="10"/>
    </row>
    <row r="245" ht="15.75" customHeight="1">
      <c r="A245" s="11">
        <v>67.0</v>
      </c>
      <c r="B245" s="3" t="s">
        <v>13</v>
      </c>
      <c r="C245" s="10" t="s">
        <v>241</v>
      </c>
      <c r="D245" s="10" t="s">
        <v>241</v>
      </c>
      <c r="E245" s="5" t="str">
        <f t="shared" si="1"/>
        <v>6 - Practical Completion 1ST COAT PAINTING</v>
      </c>
      <c r="F245" s="10" t="s">
        <v>375</v>
      </c>
      <c r="G245" s="10" t="s">
        <v>52</v>
      </c>
      <c r="H245" s="10" t="s">
        <v>33</v>
      </c>
      <c r="I245" s="10" t="s">
        <v>322</v>
      </c>
      <c r="J245" s="11">
        <v>5.0</v>
      </c>
      <c r="K245" s="10">
        <v>63.0</v>
      </c>
      <c r="L245" s="10">
        <v>68.0</v>
      </c>
    </row>
    <row r="246" ht="15.75" customHeight="1">
      <c r="A246" s="11">
        <v>68.0</v>
      </c>
      <c r="B246" s="3" t="s">
        <v>13</v>
      </c>
      <c r="C246" s="10" t="s">
        <v>241</v>
      </c>
      <c r="D246" s="10" t="s">
        <v>241</v>
      </c>
      <c r="E246" s="5" t="str">
        <f t="shared" si="1"/>
        <v>6 - Practical Completion CABINETRY INSTALL</v>
      </c>
      <c r="F246" s="10" t="s">
        <v>376</v>
      </c>
      <c r="G246" s="10" t="s">
        <v>52</v>
      </c>
      <c r="H246" s="10" t="s">
        <v>33</v>
      </c>
      <c r="I246" s="10" t="s">
        <v>322</v>
      </c>
      <c r="J246" s="11">
        <v>3.0</v>
      </c>
      <c r="K246" s="10">
        <v>67.0</v>
      </c>
      <c r="L246" s="10" t="s">
        <v>377</v>
      </c>
    </row>
    <row r="247" ht="15.75" customHeight="1">
      <c r="A247" s="11">
        <v>69.0</v>
      </c>
      <c r="B247" s="3" t="s">
        <v>13</v>
      </c>
      <c r="C247" s="10" t="s">
        <v>241</v>
      </c>
      <c r="D247" s="10" t="s">
        <v>241</v>
      </c>
      <c r="E247" s="5" t="str">
        <f t="shared" si="1"/>
        <v>6 - Practical Completion STONE MEASURE</v>
      </c>
      <c r="F247" s="10" t="s">
        <v>378</v>
      </c>
      <c r="G247" s="10" t="s">
        <v>52</v>
      </c>
      <c r="H247" s="10" t="s">
        <v>33</v>
      </c>
      <c r="I247" s="10" t="s">
        <v>322</v>
      </c>
      <c r="J247" s="11">
        <v>1.0</v>
      </c>
      <c r="K247" s="10">
        <v>68.0</v>
      </c>
      <c r="L247" s="10">
        <v>73.0</v>
      </c>
    </row>
    <row r="248" ht="15.75" customHeight="1">
      <c r="A248" s="11">
        <v>70.0</v>
      </c>
      <c r="B248" s="3" t="s">
        <v>13</v>
      </c>
      <c r="C248" s="10" t="s">
        <v>241</v>
      </c>
      <c r="D248" s="10" t="s">
        <v>241</v>
      </c>
      <c r="E248" s="5" t="str">
        <f t="shared" si="1"/>
        <v>6 - Practical Completion TILING LABOUR</v>
      </c>
      <c r="F248" s="10" t="s">
        <v>379</v>
      </c>
      <c r="G248" s="10" t="s">
        <v>52</v>
      </c>
      <c r="H248" s="10" t="s">
        <v>33</v>
      </c>
      <c r="I248" s="10" t="s">
        <v>322</v>
      </c>
      <c r="J248" s="11">
        <v>5.0</v>
      </c>
      <c r="K248" s="10">
        <v>68.0</v>
      </c>
      <c r="L248" s="10" t="s">
        <v>380</v>
      </c>
    </row>
    <row r="249" ht="15.75" customHeight="1">
      <c r="A249" s="11">
        <v>71.0</v>
      </c>
      <c r="B249" s="3" t="s">
        <v>13</v>
      </c>
      <c r="C249" s="10" t="s">
        <v>241</v>
      </c>
      <c r="D249" s="10" t="s">
        <v>241</v>
      </c>
      <c r="E249" s="5" t="str">
        <f t="shared" si="1"/>
        <v>6 - Practical Completion SANITARY INSTALL</v>
      </c>
      <c r="F249" s="10" t="s">
        <v>381</v>
      </c>
      <c r="G249" s="10" t="s">
        <v>52</v>
      </c>
      <c r="H249" s="10" t="s">
        <v>33</v>
      </c>
      <c r="I249" s="10" t="s">
        <v>322</v>
      </c>
      <c r="J249" s="11">
        <v>1.0</v>
      </c>
      <c r="K249" s="10">
        <v>70.0</v>
      </c>
      <c r="L249" s="10"/>
    </row>
    <row r="250" ht="15.75" customHeight="1">
      <c r="A250" s="11">
        <v>72.0</v>
      </c>
      <c r="B250" s="3" t="s">
        <v>13</v>
      </c>
      <c r="C250" s="10" t="s">
        <v>241</v>
      </c>
      <c r="D250" s="10" t="s">
        <v>241</v>
      </c>
      <c r="E250" s="5" t="str">
        <f t="shared" si="1"/>
        <v>6 - Practical Completion GARAGE DOOR INSTALL</v>
      </c>
      <c r="F250" s="10" t="s">
        <v>382</v>
      </c>
      <c r="G250" s="10" t="s">
        <v>52</v>
      </c>
      <c r="H250" s="10" t="s">
        <v>33</v>
      </c>
      <c r="I250" s="10" t="s">
        <v>322</v>
      </c>
      <c r="J250" s="11">
        <v>1.0</v>
      </c>
      <c r="K250" s="10">
        <v>70.0</v>
      </c>
      <c r="L250" s="10"/>
    </row>
    <row r="251" ht="15.75" customHeight="1">
      <c r="A251" s="11">
        <v>73.0</v>
      </c>
      <c r="B251" s="3" t="s">
        <v>13</v>
      </c>
      <c r="C251" s="10" t="s">
        <v>241</v>
      </c>
      <c r="D251" s="10" t="s">
        <v>241</v>
      </c>
      <c r="E251" s="5" t="str">
        <f t="shared" si="1"/>
        <v>6 - Practical Completion STONE INSTALL</v>
      </c>
      <c r="F251" s="10" t="s">
        <v>383</v>
      </c>
      <c r="G251" s="10" t="s">
        <v>52</v>
      </c>
      <c r="H251" s="10" t="s">
        <v>33</v>
      </c>
      <c r="I251" s="10" t="s">
        <v>322</v>
      </c>
      <c r="J251" s="11">
        <v>1.0</v>
      </c>
      <c r="K251" s="10">
        <v>69.0</v>
      </c>
      <c r="L251" s="10" t="s">
        <v>384</v>
      </c>
    </row>
    <row r="252" ht="15.75" customHeight="1">
      <c r="A252" s="11">
        <v>74.0</v>
      </c>
      <c r="B252" s="3" t="s">
        <v>13</v>
      </c>
      <c r="C252" s="10" t="s">
        <v>241</v>
      </c>
      <c r="D252" s="10" t="s">
        <v>241</v>
      </c>
      <c r="E252" s="5" t="str">
        <f t="shared" si="1"/>
        <v>6 - Practical Completion SCREEN / ROBE MEASURE</v>
      </c>
      <c r="F252" s="10" t="s">
        <v>385</v>
      </c>
      <c r="G252" s="10" t="s">
        <v>52</v>
      </c>
      <c r="H252" s="10" t="s">
        <v>33</v>
      </c>
      <c r="I252" s="10" t="s">
        <v>322</v>
      </c>
      <c r="J252" s="11">
        <v>1.0</v>
      </c>
      <c r="K252" s="10">
        <v>70.0</v>
      </c>
      <c r="L252" s="10"/>
    </row>
    <row r="253" ht="15.75" customHeight="1">
      <c r="A253" s="11">
        <v>75.0</v>
      </c>
      <c r="B253" s="3" t="s">
        <v>13</v>
      </c>
      <c r="C253" s="10" t="s">
        <v>241</v>
      </c>
      <c r="D253" s="10" t="s">
        <v>241</v>
      </c>
      <c r="E253" s="5" t="str">
        <f t="shared" si="1"/>
        <v>6 - Practical Completion ACCESSORIES - DELIVERY</v>
      </c>
      <c r="F253" s="10" t="s">
        <v>386</v>
      </c>
      <c r="G253" s="10" t="s">
        <v>52</v>
      </c>
      <c r="H253" s="10" t="s">
        <v>33</v>
      </c>
      <c r="I253" s="10" t="s">
        <v>322</v>
      </c>
      <c r="J253" s="11">
        <v>1.0</v>
      </c>
      <c r="K253" s="10">
        <v>70.0</v>
      </c>
      <c r="L253" s="10">
        <v>76.0</v>
      </c>
    </row>
    <row r="254" ht="15.75" customHeight="1">
      <c r="A254" s="11">
        <v>76.0</v>
      </c>
      <c r="B254" s="3" t="s">
        <v>13</v>
      </c>
      <c r="C254" s="10" t="s">
        <v>241</v>
      </c>
      <c r="D254" s="10" t="s">
        <v>241</v>
      </c>
      <c r="E254" s="5" t="str">
        <f t="shared" si="1"/>
        <v>6 - Practical Completion ACCESSORIES - INSTALL</v>
      </c>
      <c r="F254" s="10" t="s">
        <v>387</v>
      </c>
      <c r="G254" s="10" t="s">
        <v>52</v>
      </c>
      <c r="H254" s="10" t="s">
        <v>33</v>
      </c>
      <c r="I254" s="10" t="s">
        <v>322</v>
      </c>
      <c r="J254" s="11">
        <v>1.0</v>
      </c>
      <c r="K254" s="10">
        <v>75.0</v>
      </c>
      <c r="L254" s="10"/>
    </row>
    <row r="255" ht="15.75" customHeight="1">
      <c r="A255" s="11">
        <v>77.0</v>
      </c>
      <c r="B255" s="3" t="s">
        <v>13</v>
      </c>
      <c r="C255" s="10" t="s">
        <v>241</v>
      </c>
      <c r="D255" s="10" t="s">
        <v>241</v>
      </c>
      <c r="E255" s="5" t="str">
        <f t="shared" si="1"/>
        <v>6 - Practical Completion 2ND FIX SERVICES</v>
      </c>
      <c r="F255" s="10" t="s">
        <v>388</v>
      </c>
      <c r="G255" s="10" t="s">
        <v>52</v>
      </c>
      <c r="H255" s="10" t="s">
        <v>33</v>
      </c>
      <c r="I255" s="10"/>
      <c r="J255" s="11">
        <v>13.0</v>
      </c>
      <c r="K255" s="10"/>
      <c r="L255" s="10"/>
    </row>
    <row r="256" ht="15.75" customHeight="1">
      <c r="A256" s="11">
        <v>78.0</v>
      </c>
      <c r="B256" s="3" t="s">
        <v>13</v>
      </c>
      <c r="C256" s="10" t="s">
        <v>241</v>
      </c>
      <c r="D256" s="10" t="s">
        <v>241</v>
      </c>
      <c r="E256" s="5" t="str">
        <f t="shared" si="1"/>
        <v>6 - Practical Completion 2ND FIX PLUMBING</v>
      </c>
      <c r="F256" s="10" t="s">
        <v>389</v>
      </c>
      <c r="G256" s="10" t="s">
        <v>52</v>
      </c>
      <c r="H256" s="10" t="s">
        <v>33</v>
      </c>
      <c r="I256" s="10" t="s">
        <v>322</v>
      </c>
      <c r="J256" s="11">
        <v>2.0</v>
      </c>
      <c r="K256" s="10" t="s">
        <v>390</v>
      </c>
      <c r="L256" s="10"/>
    </row>
    <row r="257" ht="15.75" customHeight="1">
      <c r="A257" s="11">
        <v>79.0</v>
      </c>
      <c r="B257" s="3" t="s">
        <v>13</v>
      </c>
      <c r="C257" s="10" t="s">
        <v>241</v>
      </c>
      <c r="D257" s="10" t="s">
        <v>241</v>
      </c>
      <c r="E257" s="5" t="str">
        <f t="shared" si="1"/>
        <v>6 - Practical Completion 2ND FIX GAS</v>
      </c>
      <c r="F257" s="10" t="s">
        <v>391</v>
      </c>
      <c r="G257" s="10" t="s">
        <v>52</v>
      </c>
      <c r="H257" s="10" t="s">
        <v>33</v>
      </c>
      <c r="I257" s="10" t="s">
        <v>322</v>
      </c>
      <c r="J257" s="11">
        <v>1.0</v>
      </c>
      <c r="K257" s="10" t="s">
        <v>390</v>
      </c>
      <c r="L257" s="10"/>
    </row>
    <row r="258" ht="15.75" customHeight="1">
      <c r="A258" s="11">
        <v>80.0</v>
      </c>
      <c r="B258" s="3" t="s">
        <v>13</v>
      </c>
      <c r="C258" s="10" t="s">
        <v>241</v>
      </c>
      <c r="D258" s="10" t="s">
        <v>241</v>
      </c>
      <c r="E258" s="5" t="str">
        <f t="shared" si="1"/>
        <v>6 - Practical Completion 2ND FIX ELECTRICAL</v>
      </c>
      <c r="F258" s="10" t="s">
        <v>392</v>
      </c>
      <c r="G258" s="10" t="s">
        <v>52</v>
      </c>
      <c r="H258" s="10" t="s">
        <v>33</v>
      </c>
      <c r="I258" s="10" t="s">
        <v>322</v>
      </c>
      <c r="J258" s="11">
        <v>2.0</v>
      </c>
      <c r="K258" s="10" t="s">
        <v>393</v>
      </c>
      <c r="L258" s="10"/>
    </row>
    <row r="259" ht="15.75" customHeight="1">
      <c r="A259" s="11">
        <v>81.0</v>
      </c>
      <c r="B259" s="3" t="s">
        <v>13</v>
      </c>
      <c r="C259" s="10" t="s">
        <v>241</v>
      </c>
      <c r="D259" s="10" t="s">
        <v>241</v>
      </c>
      <c r="E259" s="5" t="str">
        <f t="shared" si="1"/>
        <v>6 - Practical Completion 2ND FIX AIRCON</v>
      </c>
      <c r="F259" s="10" t="s">
        <v>394</v>
      </c>
      <c r="G259" s="10" t="s">
        <v>52</v>
      </c>
      <c r="H259" s="10" t="s">
        <v>33</v>
      </c>
      <c r="I259" s="10" t="s">
        <v>322</v>
      </c>
      <c r="J259" s="11">
        <v>2.0</v>
      </c>
      <c r="K259" s="10" t="s">
        <v>393</v>
      </c>
      <c r="L259" s="10"/>
    </row>
    <row r="260" ht="15.75" customHeight="1">
      <c r="A260" s="11">
        <v>82.0</v>
      </c>
      <c r="B260" s="3" t="s">
        <v>13</v>
      </c>
      <c r="C260" s="10" t="s">
        <v>241</v>
      </c>
      <c r="D260" s="10" t="s">
        <v>241</v>
      </c>
      <c r="E260" s="5" t="str">
        <f t="shared" si="1"/>
        <v>6 - Practical Completion 2ND FIX ALARM / SECURITY</v>
      </c>
      <c r="F260" s="10" t="s">
        <v>395</v>
      </c>
      <c r="G260" s="10" t="s">
        <v>52</v>
      </c>
      <c r="H260" s="10" t="s">
        <v>33</v>
      </c>
      <c r="I260" s="10" t="s">
        <v>322</v>
      </c>
      <c r="J260" s="11">
        <v>1.0</v>
      </c>
      <c r="K260" s="10" t="s">
        <v>393</v>
      </c>
      <c r="L260" s="10"/>
    </row>
    <row r="261" ht="15.75" customHeight="1">
      <c r="A261" s="11">
        <v>83.0</v>
      </c>
      <c r="B261" s="3" t="s">
        <v>13</v>
      </c>
      <c r="C261" s="10" t="s">
        <v>241</v>
      </c>
      <c r="D261" s="10" t="s">
        <v>241</v>
      </c>
      <c r="E261" s="5" t="str">
        <f t="shared" si="1"/>
        <v>6 - Practical Completion TILING (SPLASHBACKS)</v>
      </c>
      <c r="F261" s="10" t="s">
        <v>396</v>
      </c>
      <c r="G261" s="10" t="s">
        <v>52</v>
      </c>
      <c r="H261" s="10" t="s">
        <v>33</v>
      </c>
      <c r="I261" s="10" t="s">
        <v>322</v>
      </c>
      <c r="J261" s="11">
        <v>2.0</v>
      </c>
      <c r="K261" s="10" t="s">
        <v>393</v>
      </c>
      <c r="L261" s="10">
        <v>84.0</v>
      </c>
    </row>
    <row r="262" ht="15.75" customHeight="1">
      <c r="A262" s="11">
        <v>84.0</v>
      </c>
      <c r="B262" s="3" t="s">
        <v>13</v>
      </c>
      <c r="C262" s="10" t="s">
        <v>241</v>
      </c>
      <c r="D262" s="10" t="s">
        <v>241</v>
      </c>
      <c r="E262" s="5" t="str">
        <f t="shared" si="1"/>
        <v>6 - Practical Completion FINAL COAT PAINT</v>
      </c>
      <c r="F262" s="10" t="s">
        <v>397</v>
      </c>
      <c r="G262" s="10" t="s">
        <v>52</v>
      </c>
      <c r="H262" s="10" t="s">
        <v>33</v>
      </c>
      <c r="I262" s="10" t="s">
        <v>322</v>
      </c>
      <c r="J262" s="11">
        <v>5.0</v>
      </c>
      <c r="K262" s="10">
        <v>83.0</v>
      </c>
      <c r="L262" s="10">
        <v>85.0</v>
      </c>
    </row>
    <row r="263" ht="15.75" customHeight="1">
      <c r="A263" s="11">
        <v>85.0</v>
      </c>
      <c r="B263" s="3" t="s">
        <v>13</v>
      </c>
      <c r="C263" s="10" t="s">
        <v>241</v>
      </c>
      <c r="D263" s="10" t="s">
        <v>241</v>
      </c>
      <c r="E263" s="5" t="str">
        <f t="shared" si="1"/>
        <v>6 - Practical Completion FLOORING INSTALL</v>
      </c>
      <c r="F263" s="10" t="s">
        <v>398</v>
      </c>
      <c r="G263" s="10" t="s">
        <v>52</v>
      </c>
      <c r="H263" s="10" t="s">
        <v>33</v>
      </c>
      <c r="I263" s="10" t="s">
        <v>322</v>
      </c>
      <c r="J263" s="11">
        <v>5.0</v>
      </c>
      <c r="K263" s="10">
        <v>84.0</v>
      </c>
      <c r="L263" s="10">
        <v>86.0</v>
      </c>
    </row>
    <row r="264" ht="15.75" customHeight="1">
      <c r="A264" s="11">
        <v>86.0</v>
      </c>
      <c r="B264" s="3" t="s">
        <v>13</v>
      </c>
      <c r="C264" s="10" t="s">
        <v>241</v>
      </c>
      <c r="D264" s="10" t="s">
        <v>241</v>
      </c>
      <c r="E264" s="5" t="str">
        <f t="shared" si="1"/>
        <v>6 - Practical Completion SKIRTINGS / HANDLES INSTALL</v>
      </c>
      <c r="F264" s="10" t="s">
        <v>399</v>
      </c>
      <c r="G264" s="10" t="s">
        <v>52</v>
      </c>
      <c r="H264" s="10" t="s">
        <v>33</v>
      </c>
      <c r="I264" s="10" t="s">
        <v>322</v>
      </c>
      <c r="J264" s="11">
        <v>1.0</v>
      </c>
      <c r="K264" s="10">
        <v>85.0</v>
      </c>
      <c r="L264" s="10">
        <v>89.0</v>
      </c>
    </row>
    <row r="265" ht="15.75" customHeight="1">
      <c r="A265" s="11">
        <v>87.0</v>
      </c>
      <c r="B265" s="3" t="s">
        <v>13</v>
      </c>
      <c r="C265" s="10" t="s">
        <v>241</v>
      </c>
      <c r="D265" s="10" t="s">
        <v>241</v>
      </c>
      <c r="E265" s="5" t="str">
        <f t="shared" si="1"/>
        <v>6 - Practical Completion PRACTICLE COMPLETION (PCI)</v>
      </c>
      <c r="F265" s="10" t="s">
        <v>400</v>
      </c>
      <c r="G265" s="10" t="s">
        <v>52</v>
      </c>
      <c r="H265" s="10" t="s">
        <v>33</v>
      </c>
      <c r="I265" s="10"/>
      <c r="J265" s="11">
        <v>19.0</v>
      </c>
      <c r="K265" s="10"/>
      <c r="L265" s="10"/>
    </row>
    <row r="266" ht="15.75" customHeight="1">
      <c r="A266" s="11">
        <v>88.0</v>
      </c>
      <c r="B266" s="3" t="s">
        <v>13</v>
      </c>
      <c r="C266" s="10" t="s">
        <v>241</v>
      </c>
      <c r="D266" s="10" t="s">
        <v>241</v>
      </c>
      <c r="E266" s="5" t="str">
        <f t="shared" si="1"/>
        <v>6 - Practical Completion Claim - Practical Completion</v>
      </c>
      <c r="F266" s="10" t="s">
        <v>401</v>
      </c>
      <c r="G266" s="10" t="s">
        <v>52</v>
      </c>
      <c r="H266" s="10" t="s">
        <v>33</v>
      </c>
      <c r="I266" s="10" t="s">
        <v>296</v>
      </c>
      <c r="J266" s="11">
        <v>0.0</v>
      </c>
      <c r="K266" s="10">
        <v>93.0</v>
      </c>
      <c r="L266" s="10"/>
    </row>
    <row r="267" ht="15.75" customHeight="1">
      <c r="A267" s="11">
        <v>89.0</v>
      </c>
      <c r="B267" s="3" t="s">
        <v>13</v>
      </c>
      <c r="C267" s="10" t="s">
        <v>241</v>
      </c>
      <c r="D267" s="10" t="s">
        <v>241</v>
      </c>
      <c r="E267" s="5" t="str">
        <f t="shared" si="1"/>
        <v>6 - Practical Completion 1ST HOUSE CLEAN</v>
      </c>
      <c r="F267" s="10" t="s">
        <v>402</v>
      </c>
      <c r="G267" s="10" t="s">
        <v>52</v>
      </c>
      <c r="H267" s="10" t="s">
        <v>33</v>
      </c>
      <c r="I267" s="10" t="s">
        <v>322</v>
      </c>
      <c r="J267" s="11">
        <v>1.0</v>
      </c>
      <c r="K267" s="10">
        <v>86.0</v>
      </c>
      <c r="L267" s="10">
        <v>90.0</v>
      </c>
    </row>
    <row r="268" ht="15.75" customHeight="1">
      <c r="A268" s="11">
        <v>90.0</v>
      </c>
      <c r="B268" s="3" t="s">
        <v>13</v>
      </c>
      <c r="C268" s="10" t="s">
        <v>241</v>
      </c>
      <c r="D268" s="10" t="s">
        <v>241</v>
      </c>
      <c r="E268" s="5" t="str">
        <f t="shared" si="1"/>
        <v>6 - Practical Completion CONSTRUCTION WALK</v>
      </c>
      <c r="F268" s="10" t="s">
        <v>403</v>
      </c>
      <c r="G268" s="10" t="s">
        <v>52</v>
      </c>
      <c r="H268" s="10" t="s">
        <v>33</v>
      </c>
      <c r="I268" s="10" t="s">
        <v>322</v>
      </c>
      <c r="J268" s="11">
        <v>1.0</v>
      </c>
      <c r="K268" s="10">
        <v>89.0</v>
      </c>
      <c r="L268" s="10" t="s">
        <v>404</v>
      </c>
    </row>
    <row r="269" ht="15.75" customHeight="1">
      <c r="A269" s="11">
        <v>91.0</v>
      </c>
      <c r="B269" s="3" t="s">
        <v>13</v>
      </c>
      <c r="C269" s="10" t="s">
        <v>241</v>
      </c>
      <c r="D269" s="10" t="s">
        <v>241</v>
      </c>
      <c r="E269" s="5" t="str">
        <f t="shared" si="1"/>
        <v>6 - Practical Completion Customer Care - Book PCI</v>
      </c>
      <c r="F269" s="10" t="s">
        <v>405</v>
      </c>
      <c r="G269" s="10" t="s">
        <v>52</v>
      </c>
      <c r="H269" s="10" t="s">
        <v>33</v>
      </c>
      <c r="I269" s="10" t="s">
        <v>296</v>
      </c>
      <c r="J269" s="11">
        <v>1.0</v>
      </c>
      <c r="K269" s="10">
        <v>90.0</v>
      </c>
      <c r="L269" s="10">
        <v>93.0</v>
      </c>
    </row>
    <row r="270" ht="15.75" customHeight="1">
      <c r="A270" s="11">
        <v>92.0</v>
      </c>
      <c r="B270" s="3" t="s">
        <v>13</v>
      </c>
      <c r="C270" s="10" t="s">
        <v>241</v>
      </c>
      <c r="D270" s="10" t="s">
        <v>241</v>
      </c>
      <c r="E270" s="5" t="str">
        <f t="shared" si="1"/>
        <v>6 - Practical Completion TOUCH UPS</v>
      </c>
      <c r="F270" s="10" t="s">
        <v>406</v>
      </c>
      <c r="G270" s="10" t="s">
        <v>52</v>
      </c>
      <c r="H270" s="10" t="s">
        <v>33</v>
      </c>
      <c r="I270" s="10" t="s">
        <v>322</v>
      </c>
      <c r="J270" s="11">
        <v>5.0</v>
      </c>
      <c r="K270" s="10">
        <v>90.0</v>
      </c>
      <c r="L270" s="10">
        <v>93.0</v>
      </c>
    </row>
    <row r="271" ht="15.75" customHeight="1">
      <c r="A271" s="11">
        <v>93.0</v>
      </c>
      <c r="B271" s="3" t="s">
        <v>13</v>
      </c>
      <c r="C271" s="10" t="s">
        <v>241</v>
      </c>
      <c r="D271" s="10" t="s">
        <v>241</v>
      </c>
      <c r="E271" s="5" t="str">
        <f t="shared" si="1"/>
        <v>6 - Practical Completion PCI WALKTHROUGH</v>
      </c>
      <c r="F271" s="10" t="s">
        <v>407</v>
      </c>
      <c r="G271" s="10" t="s">
        <v>52</v>
      </c>
      <c r="H271" s="10" t="s">
        <v>33</v>
      </c>
      <c r="I271" s="10" t="s">
        <v>322</v>
      </c>
      <c r="J271" s="11">
        <v>1.0</v>
      </c>
      <c r="K271" s="10" t="s">
        <v>408</v>
      </c>
      <c r="L271" s="10" t="s">
        <v>409</v>
      </c>
    </row>
    <row r="272" ht="15.75" customHeight="1">
      <c r="A272" s="11">
        <v>94.0</v>
      </c>
      <c r="B272" s="3" t="s">
        <v>13</v>
      </c>
      <c r="C272" s="10" t="s">
        <v>242</v>
      </c>
      <c r="D272" s="10" t="s">
        <v>242</v>
      </c>
      <c r="E272" s="5" t="str">
        <f t="shared" si="1"/>
        <v>7 - Handover Customer Care - Book Handover Appointment</v>
      </c>
      <c r="F272" s="10" t="s">
        <v>410</v>
      </c>
      <c r="G272" s="10" t="s">
        <v>52</v>
      </c>
      <c r="H272" s="10" t="s">
        <v>33</v>
      </c>
      <c r="I272" s="10" t="s">
        <v>296</v>
      </c>
      <c r="J272" s="11">
        <v>1.0</v>
      </c>
      <c r="K272" s="10">
        <v>93.0</v>
      </c>
      <c r="L272" s="10"/>
    </row>
    <row r="273" ht="15.75" customHeight="1">
      <c r="A273" s="11">
        <v>95.0</v>
      </c>
      <c r="B273" s="3" t="s">
        <v>13</v>
      </c>
      <c r="C273" s="10" t="s">
        <v>242</v>
      </c>
      <c r="D273" s="10" t="s">
        <v>242</v>
      </c>
      <c r="E273" s="5" t="str">
        <f t="shared" si="1"/>
        <v>7 - Handover APPLIANCES - DELIVERY</v>
      </c>
      <c r="F273" s="10" t="s">
        <v>411</v>
      </c>
      <c r="G273" s="10" t="s">
        <v>52</v>
      </c>
      <c r="H273" s="10" t="s">
        <v>33</v>
      </c>
      <c r="I273" s="10" t="s">
        <v>322</v>
      </c>
      <c r="J273" s="11">
        <v>1.0</v>
      </c>
      <c r="K273" s="10">
        <v>93.0</v>
      </c>
      <c r="L273" s="10" t="s">
        <v>412</v>
      </c>
    </row>
    <row r="274" ht="15.75" customHeight="1">
      <c r="A274" s="11">
        <v>96.0</v>
      </c>
      <c r="B274" s="3" t="s">
        <v>13</v>
      </c>
      <c r="C274" s="10" t="s">
        <v>242</v>
      </c>
      <c r="D274" s="10" t="s">
        <v>242</v>
      </c>
      <c r="E274" s="5" t="str">
        <f t="shared" si="1"/>
        <v>7 - Handover PLUMBER APPLIANCES - INSTALL</v>
      </c>
      <c r="F274" s="10" t="s">
        <v>413</v>
      </c>
      <c r="G274" s="10" t="s">
        <v>52</v>
      </c>
      <c r="H274" s="10" t="s">
        <v>33</v>
      </c>
      <c r="I274" s="10" t="s">
        <v>322</v>
      </c>
      <c r="J274" s="11">
        <v>1.0</v>
      </c>
      <c r="K274" s="10">
        <v>95.0</v>
      </c>
      <c r="L274" s="10"/>
    </row>
    <row r="275" ht="15.75" customHeight="1">
      <c r="A275" s="11">
        <v>97.0</v>
      </c>
      <c r="B275" s="3" t="s">
        <v>13</v>
      </c>
      <c r="C275" s="10" t="s">
        <v>242</v>
      </c>
      <c r="D275" s="10" t="s">
        <v>242</v>
      </c>
      <c r="E275" s="5" t="str">
        <f t="shared" si="1"/>
        <v>7 - Handover ELECTRICIAN APPLIANCES - INSTALL</v>
      </c>
      <c r="F275" s="10" t="s">
        <v>414</v>
      </c>
      <c r="G275" s="10" t="s">
        <v>52</v>
      </c>
      <c r="H275" s="10" t="s">
        <v>33</v>
      </c>
      <c r="I275" s="10" t="s">
        <v>322</v>
      </c>
      <c r="J275" s="11">
        <v>1.0</v>
      </c>
      <c r="K275" s="10">
        <v>95.0</v>
      </c>
      <c r="L275" s="10"/>
    </row>
    <row r="276" ht="15.75" customHeight="1">
      <c r="A276" s="11">
        <v>98.0</v>
      </c>
      <c r="B276" s="3" t="s">
        <v>13</v>
      </c>
      <c r="C276" s="10" t="s">
        <v>242</v>
      </c>
      <c r="D276" s="10" t="s">
        <v>242</v>
      </c>
      <c r="E276" s="5" t="str">
        <f t="shared" si="1"/>
        <v>7 - Handover GAS APPLIANCES - INSTALL</v>
      </c>
      <c r="F276" s="10" t="s">
        <v>415</v>
      </c>
      <c r="G276" s="10" t="s">
        <v>52</v>
      </c>
      <c r="H276" s="10" t="s">
        <v>33</v>
      </c>
      <c r="I276" s="10" t="s">
        <v>322</v>
      </c>
      <c r="J276" s="11">
        <v>1.0</v>
      </c>
      <c r="K276" s="10">
        <v>95.0</v>
      </c>
      <c r="L276" s="10"/>
    </row>
    <row r="277" ht="15.75" customHeight="1">
      <c r="A277" s="11">
        <v>99.0</v>
      </c>
      <c r="B277" s="3" t="s">
        <v>13</v>
      </c>
      <c r="C277" s="10" t="s">
        <v>242</v>
      </c>
      <c r="D277" s="10" t="s">
        <v>242</v>
      </c>
      <c r="E277" s="5" t="str">
        <f t="shared" si="1"/>
        <v>7 - Handover HANDOVER</v>
      </c>
      <c r="F277" s="10" t="s">
        <v>416</v>
      </c>
      <c r="G277" s="10" t="s">
        <v>52</v>
      </c>
      <c r="H277" s="10" t="s">
        <v>33</v>
      </c>
      <c r="I277" s="10" t="s">
        <v>322</v>
      </c>
      <c r="J277" s="11">
        <v>1.0</v>
      </c>
      <c r="K277" s="10" t="s">
        <v>417</v>
      </c>
      <c r="L277" s="10"/>
    </row>
    <row r="278" ht="15.75" customHeight="1">
      <c r="A278" s="11">
        <v>100.0</v>
      </c>
      <c r="B278" s="3" t="s">
        <v>13</v>
      </c>
      <c r="C278" s="10" t="s">
        <v>242</v>
      </c>
      <c r="D278" s="10" t="s">
        <v>242</v>
      </c>
      <c r="E278" s="5" t="str">
        <f t="shared" si="1"/>
        <v>7 - Handover FENCING</v>
      </c>
      <c r="F278" s="10" t="s">
        <v>418</v>
      </c>
      <c r="G278" s="10" t="s">
        <v>52</v>
      </c>
      <c r="H278" s="10" t="s">
        <v>33</v>
      </c>
      <c r="I278" s="10" t="s">
        <v>322</v>
      </c>
      <c r="J278" s="11">
        <v>1.0</v>
      </c>
      <c r="K278" s="10"/>
      <c r="L278" s="10"/>
    </row>
    <row r="279" ht="15.75" customHeight="1">
      <c r="A279" s="11">
        <v>101.0</v>
      </c>
      <c r="B279" s="3" t="s">
        <v>13</v>
      </c>
      <c r="C279" s="10" t="s">
        <v>242</v>
      </c>
      <c r="D279" s="10" t="s">
        <v>242</v>
      </c>
      <c r="E279" s="5" t="str">
        <f t="shared" si="1"/>
        <v>7 - Handover BASE PREP</v>
      </c>
      <c r="F279" s="10" t="s">
        <v>419</v>
      </c>
      <c r="G279" s="10" t="s">
        <v>52</v>
      </c>
      <c r="H279" s="10" t="s">
        <v>33</v>
      </c>
      <c r="I279" s="10" t="s">
        <v>322</v>
      </c>
      <c r="J279" s="11">
        <v>1.0</v>
      </c>
      <c r="K279" s="10"/>
      <c r="L279" s="10"/>
    </row>
    <row r="280" ht="15.75" customHeight="1">
      <c r="A280" s="11">
        <v>102.0</v>
      </c>
      <c r="B280" s="3" t="s">
        <v>13</v>
      </c>
      <c r="C280" s="10" t="s">
        <v>242</v>
      </c>
      <c r="D280" s="10" t="s">
        <v>242</v>
      </c>
      <c r="E280" s="5" t="str">
        <f t="shared" si="1"/>
        <v>7 - Handover SEWER CHECK</v>
      </c>
      <c r="F280" s="10" t="s">
        <v>420</v>
      </c>
      <c r="G280" s="10" t="s">
        <v>52</v>
      </c>
      <c r="H280" s="10" t="s">
        <v>33</v>
      </c>
      <c r="I280" s="10" t="s">
        <v>322</v>
      </c>
      <c r="J280" s="11">
        <v>1.0</v>
      </c>
      <c r="K280" s="10"/>
      <c r="L280" s="10"/>
    </row>
    <row r="281" ht="15.75" customHeight="1">
      <c r="A281" s="11">
        <v>103.0</v>
      </c>
      <c r="B281" s="3" t="s">
        <v>13</v>
      </c>
      <c r="C281" s="10" t="s">
        <v>242</v>
      </c>
      <c r="D281" s="10" t="s">
        <v>242</v>
      </c>
      <c r="E281" s="5" t="str">
        <f t="shared" si="1"/>
        <v>7 - Handover PAVING / CONCRETE</v>
      </c>
      <c r="F281" s="10" t="s">
        <v>421</v>
      </c>
      <c r="G281" s="10" t="s">
        <v>52</v>
      </c>
      <c r="H281" s="10" t="s">
        <v>33</v>
      </c>
      <c r="I281" s="10" t="s">
        <v>322</v>
      </c>
      <c r="J281" s="11">
        <v>1.0</v>
      </c>
      <c r="K281" s="10"/>
      <c r="L281" s="10"/>
    </row>
    <row r="282" ht="15.75" customHeight="1">
      <c r="A282" s="11">
        <v>104.0</v>
      </c>
      <c r="B282" s="3" t="s">
        <v>13</v>
      </c>
      <c r="C282" s="10" t="s">
        <v>242</v>
      </c>
      <c r="D282" s="10" t="s">
        <v>242</v>
      </c>
      <c r="E282" s="5" t="str">
        <f t="shared" si="1"/>
        <v>7 - Handover RAINWATWATER TANK</v>
      </c>
      <c r="F282" s="10" t="s">
        <v>422</v>
      </c>
      <c r="G282" s="10" t="s">
        <v>52</v>
      </c>
      <c r="H282" s="10" t="s">
        <v>33</v>
      </c>
      <c r="I282" s="10" t="s">
        <v>322</v>
      </c>
      <c r="J282" s="11">
        <v>1.0</v>
      </c>
      <c r="K282" s="10"/>
      <c r="L282" s="10"/>
    </row>
    <row r="283" ht="15.75" customHeight="1">
      <c r="A283" s="11">
        <v>105.0</v>
      </c>
      <c r="B283" s="3" t="s">
        <v>13</v>
      </c>
      <c r="C283" s="10" t="s">
        <v>242</v>
      </c>
      <c r="D283" s="10" t="s">
        <v>242</v>
      </c>
      <c r="E283" s="5" t="str">
        <f t="shared" si="1"/>
        <v>7 - Handover LANDSCAPING</v>
      </c>
      <c r="F283" s="10" t="s">
        <v>423</v>
      </c>
      <c r="G283" s="10" t="s">
        <v>52</v>
      </c>
      <c r="H283" s="10" t="s">
        <v>33</v>
      </c>
      <c r="I283" s="10" t="s">
        <v>322</v>
      </c>
      <c r="J283" s="11">
        <v>1.0</v>
      </c>
      <c r="K283" s="10"/>
      <c r="L283" s="10"/>
    </row>
    <row r="284" ht="15.75" customHeight="1">
      <c r="A284" s="11">
        <v>106.0</v>
      </c>
      <c r="B284" s="3" t="s">
        <v>13</v>
      </c>
      <c r="C284" s="10" t="s">
        <v>242</v>
      </c>
      <c r="D284" s="10" t="s">
        <v>242</v>
      </c>
      <c r="E284" s="5" t="str">
        <f t="shared" si="1"/>
        <v>7 - Handover LETTER BOX</v>
      </c>
      <c r="F284" s="10" t="s">
        <v>424</v>
      </c>
      <c r="G284" s="10" t="s">
        <v>52</v>
      </c>
      <c r="H284" s="10" t="s">
        <v>33</v>
      </c>
      <c r="I284" s="10" t="s">
        <v>322</v>
      </c>
      <c r="J284" s="11">
        <v>1.0</v>
      </c>
      <c r="K284" s="10"/>
      <c r="L284" s="10"/>
    </row>
    <row r="285" ht="15.75" customHeight="1">
      <c r="A285" s="11">
        <v>107.0</v>
      </c>
      <c r="B285" s="3" t="s">
        <v>13</v>
      </c>
      <c r="C285" s="10" t="s">
        <v>242</v>
      </c>
      <c r="D285" s="10" t="s">
        <v>242</v>
      </c>
      <c r="E285" s="5" t="str">
        <f t="shared" si="1"/>
        <v>7 - Handover CLOTHSLINE</v>
      </c>
      <c r="F285" s="10" t="s">
        <v>425</v>
      </c>
      <c r="G285" s="10" t="s">
        <v>52</v>
      </c>
      <c r="H285" s="10" t="s">
        <v>33</v>
      </c>
      <c r="I285" s="10" t="s">
        <v>322</v>
      </c>
      <c r="J285" s="11">
        <v>1.0</v>
      </c>
      <c r="K285" s="10"/>
      <c r="L285" s="10"/>
    </row>
    <row r="286" ht="15.75" customHeight="1">
      <c r="B286" s="10"/>
      <c r="C286" s="10"/>
      <c r="D286" s="10"/>
      <c r="E286" s="5" t="str">
        <f t="shared" si="1"/>
        <v> </v>
      </c>
      <c r="F286" s="10"/>
      <c r="G286" s="10" t="s">
        <v>52</v>
      </c>
      <c r="H286" s="10" t="s">
        <v>33</v>
      </c>
      <c r="I286" s="10"/>
      <c r="J286" s="10"/>
      <c r="K286" s="10"/>
      <c r="L286" s="10"/>
    </row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0"/>
    <col customWidth="1" min="2" max="2" width="21.71"/>
    <col customWidth="1" min="3" max="3" width="24.0"/>
    <col customWidth="1" min="4" max="4" width="12.0"/>
    <col customWidth="1" min="5" max="5" width="26.0"/>
    <col customWidth="1" min="6" max="6" width="11.0"/>
    <col customWidth="1" min="7" max="7" width="12.0"/>
    <col customWidth="1" min="8" max="9" width="30.0"/>
    <col customWidth="1" min="10" max="12" width="8.71"/>
  </cols>
  <sheetData>
    <row r="1" ht="55.5" customHeight="1">
      <c r="A1" s="2" t="s">
        <v>1</v>
      </c>
      <c r="B1" s="2" t="s">
        <v>5</v>
      </c>
      <c r="C1" s="2" t="s">
        <v>57</v>
      </c>
      <c r="D1" s="2" t="s">
        <v>16</v>
      </c>
      <c r="E1" s="2" t="s">
        <v>19</v>
      </c>
      <c r="F1" s="2" t="s">
        <v>22</v>
      </c>
      <c r="G1" s="2" t="s">
        <v>61</v>
      </c>
      <c r="H1" s="2" t="s">
        <v>24</v>
      </c>
      <c r="I1" s="2" t="s">
        <v>26</v>
      </c>
      <c r="J1" s="7"/>
      <c r="K1" s="7"/>
      <c r="L1" s="7"/>
    </row>
    <row r="2" ht="15.75" customHeight="1">
      <c r="A2" s="7"/>
      <c r="B2" s="8" t="s">
        <v>93</v>
      </c>
      <c r="C2" s="8" t="s">
        <v>95</v>
      </c>
      <c r="D2" s="8" t="s">
        <v>37</v>
      </c>
      <c r="E2" s="7"/>
      <c r="F2" s="7"/>
      <c r="G2" s="7"/>
      <c r="H2" s="7"/>
      <c r="I2" s="7"/>
      <c r="J2" s="7"/>
      <c r="K2" s="7"/>
      <c r="L2" s="7"/>
    </row>
    <row r="3" ht="15.75" customHeight="1">
      <c r="A3" s="7"/>
      <c r="B3" s="8" t="s">
        <v>93</v>
      </c>
      <c r="C3" s="8" t="s">
        <v>97</v>
      </c>
      <c r="D3" s="8" t="s">
        <v>37</v>
      </c>
      <c r="E3" s="7"/>
      <c r="F3" s="7"/>
      <c r="G3" s="7"/>
      <c r="H3" s="7"/>
      <c r="I3" s="7"/>
      <c r="J3" s="7"/>
      <c r="K3" s="7"/>
      <c r="L3" s="7"/>
    </row>
    <row r="4" ht="15.75" customHeight="1">
      <c r="A4" s="7"/>
      <c r="B4" s="8" t="s">
        <v>93</v>
      </c>
      <c r="C4" s="8" t="s">
        <v>99</v>
      </c>
      <c r="D4" s="8" t="s">
        <v>33</v>
      </c>
      <c r="E4" s="7"/>
      <c r="F4" s="7"/>
      <c r="G4" s="7"/>
      <c r="H4" s="7"/>
      <c r="I4" s="7"/>
      <c r="J4" s="7"/>
      <c r="K4" s="7"/>
      <c r="L4" s="7"/>
    </row>
    <row r="5" ht="15.75" customHeight="1">
      <c r="A5" s="7"/>
      <c r="B5" s="8" t="s">
        <v>101</v>
      </c>
      <c r="C5" s="8" t="s">
        <v>103</v>
      </c>
      <c r="D5" s="8" t="s">
        <v>33</v>
      </c>
      <c r="E5" s="7"/>
      <c r="F5" s="7"/>
      <c r="G5" s="7"/>
      <c r="H5" s="7"/>
      <c r="I5" s="7"/>
      <c r="J5" s="7"/>
      <c r="K5" s="7"/>
      <c r="L5" s="7"/>
    </row>
    <row r="6" ht="15.75" customHeight="1">
      <c r="A6" s="7"/>
      <c r="B6" s="8" t="s">
        <v>101</v>
      </c>
      <c r="C6" s="8" t="s">
        <v>64</v>
      </c>
      <c r="D6" s="8" t="s">
        <v>37</v>
      </c>
      <c r="E6" s="7"/>
      <c r="F6" s="7"/>
      <c r="G6" s="7"/>
      <c r="H6" s="7"/>
      <c r="I6" s="7"/>
      <c r="J6" s="7"/>
      <c r="K6" s="7"/>
      <c r="L6" s="7"/>
    </row>
    <row r="7" ht="15.75" customHeight="1">
      <c r="A7" s="7"/>
      <c r="B7" s="8" t="s">
        <v>101</v>
      </c>
      <c r="C7" s="8" t="s">
        <v>74</v>
      </c>
      <c r="D7" s="8" t="s">
        <v>37</v>
      </c>
      <c r="E7" s="7"/>
      <c r="F7" s="7"/>
      <c r="G7" s="7"/>
      <c r="H7" s="7"/>
      <c r="I7" s="7"/>
      <c r="J7" s="7"/>
      <c r="K7" s="7"/>
      <c r="L7" s="7"/>
    </row>
    <row r="8" ht="15.75" customHeight="1">
      <c r="A8" s="7"/>
      <c r="B8" s="8" t="s">
        <v>101</v>
      </c>
      <c r="C8" s="8" t="s">
        <v>78</v>
      </c>
      <c r="D8" s="8" t="s">
        <v>37</v>
      </c>
      <c r="E8" s="7"/>
      <c r="F8" s="7"/>
      <c r="G8" s="7"/>
      <c r="H8" s="7"/>
      <c r="I8" s="7"/>
      <c r="J8" s="7"/>
      <c r="K8" s="7"/>
      <c r="L8" s="7"/>
    </row>
    <row r="9" ht="15.75" customHeight="1">
      <c r="A9" s="7"/>
      <c r="B9" s="8" t="s">
        <v>101</v>
      </c>
      <c r="C9" s="8" t="s">
        <v>80</v>
      </c>
      <c r="D9" s="8" t="s">
        <v>37</v>
      </c>
      <c r="E9" s="7"/>
      <c r="F9" s="7"/>
      <c r="G9" s="7"/>
      <c r="H9" s="7"/>
      <c r="I9" s="7"/>
      <c r="J9" s="7"/>
      <c r="K9" s="7"/>
      <c r="L9" s="7"/>
    </row>
    <row r="10" ht="15.75" customHeight="1">
      <c r="A10" s="7"/>
      <c r="B10" s="8" t="s">
        <v>101</v>
      </c>
      <c r="C10" s="8" t="s">
        <v>108</v>
      </c>
      <c r="D10" s="8" t="s">
        <v>33</v>
      </c>
      <c r="E10" s="7"/>
      <c r="F10" s="7"/>
      <c r="G10" s="7"/>
      <c r="H10" s="7"/>
      <c r="I10" s="7"/>
      <c r="J10" s="7"/>
      <c r="K10" s="7"/>
      <c r="L10" s="7"/>
    </row>
    <row r="11" ht="15.75" customHeight="1">
      <c r="A11" s="7"/>
      <c r="B11" s="8" t="s">
        <v>101</v>
      </c>
      <c r="C11" s="8" t="s">
        <v>96</v>
      </c>
      <c r="D11" s="8" t="s">
        <v>37</v>
      </c>
      <c r="E11" s="7"/>
      <c r="F11" s="7"/>
      <c r="G11" s="7"/>
      <c r="H11" s="7"/>
      <c r="I11" s="7"/>
      <c r="J11" s="7"/>
      <c r="K11" s="7"/>
      <c r="L11" s="7"/>
    </row>
    <row r="12" ht="15.75" customHeight="1">
      <c r="A12" s="7"/>
      <c r="B12" s="8" t="s">
        <v>101</v>
      </c>
      <c r="C12" s="8" t="s">
        <v>111</v>
      </c>
      <c r="D12" s="8" t="s">
        <v>33</v>
      </c>
      <c r="E12" s="7"/>
      <c r="F12" s="7"/>
      <c r="G12" s="7"/>
      <c r="H12" s="7"/>
      <c r="I12" s="7"/>
      <c r="J12" s="7"/>
      <c r="K12" s="7"/>
      <c r="L12" s="7"/>
    </row>
    <row r="13" ht="15.75" customHeight="1">
      <c r="A13" s="7"/>
      <c r="B13" s="8" t="s">
        <v>101</v>
      </c>
      <c r="C13" s="8" t="s">
        <v>112</v>
      </c>
      <c r="D13" s="8" t="s">
        <v>37</v>
      </c>
      <c r="E13" s="7"/>
      <c r="F13" s="7"/>
      <c r="G13" s="7"/>
      <c r="H13" s="7"/>
      <c r="I13" s="7"/>
      <c r="J13" s="7"/>
      <c r="K13" s="7"/>
      <c r="L13" s="7"/>
    </row>
    <row r="14" ht="15.75" customHeight="1">
      <c r="A14" s="7"/>
      <c r="B14" s="8" t="s">
        <v>101</v>
      </c>
      <c r="C14" s="8" t="s">
        <v>113</v>
      </c>
      <c r="D14" s="8" t="s">
        <v>33</v>
      </c>
      <c r="E14" s="7"/>
      <c r="F14" s="7"/>
      <c r="G14" s="7"/>
      <c r="H14" s="7"/>
      <c r="I14" s="7"/>
      <c r="J14" s="7"/>
      <c r="K14" s="7"/>
      <c r="L14" s="7"/>
    </row>
    <row r="15" ht="15.75" customHeight="1">
      <c r="A15" s="7"/>
      <c r="B15" s="8" t="s">
        <v>101</v>
      </c>
      <c r="C15" s="8" t="s">
        <v>116</v>
      </c>
      <c r="D15" s="8" t="s">
        <v>33</v>
      </c>
      <c r="E15" s="7"/>
      <c r="F15" s="7"/>
      <c r="G15" s="7"/>
      <c r="H15" s="7"/>
      <c r="I15" s="7"/>
      <c r="J15" s="7"/>
      <c r="K15" s="7"/>
      <c r="L15" s="7"/>
    </row>
    <row r="16" ht="15.75" customHeight="1">
      <c r="A16" s="7"/>
      <c r="B16" s="8" t="s">
        <v>101</v>
      </c>
      <c r="C16" s="8" t="s">
        <v>119</v>
      </c>
      <c r="D16" s="8" t="s">
        <v>33</v>
      </c>
      <c r="E16" s="7"/>
      <c r="F16" s="7"/>
      <c r="G16" s="7"/>
      <c r="H16" s="7"/>
      <c r="I16" s="7"/>
      <c r="J16" s="7"/>
      <c r="K16" s="7"/>
      <c r="L16" s="7"/>
    </row>
    <row r="17" ht="15.75" customHeight="1">
      <c r="A17" s="7"/>
      <c r="B17" s="8" t="s">
        <v>101</v>
      </c>
      <c r="C17" s="8" t="s">
        <v>120</v>
      </c>
      <c r="D17" s="8" t="s">
        <v>33</v>
      </c>
      <c r="E17" s="7"/>
      <c r="F17" s="7"/>
      <c r="G17" s="7"/>
      <c r="H17" s="7"/>
      <c r="I17" s="7"/>
      <c r="J17" s="7"/>
      <c r="K17" s="7"/>
      <c r="L17" s="7"/>
    </row>
    <row r="18" ht="15.75" customHeight="1">
      <c r="A18" s="7"/>
      <c r="B18" s="8" t="s">
        <v>101</v>
      </c>
      <c r="C18" s="8" t="s">
        <v>143</v>
      </c>
      <c r="D18" s="8" t="s">
        <v>33</v>
      </c>
      <c r="E18" s="7"/>
      <c r="F18" s="7"/>
      <c r="G18" s="7"/>
      <c r="H18" s="7"/>
      <c r="I18" s="7"/>
      <c r="J18" s="7"/>
      <c r="K18" s="7"/>
      <c r="L18" s="7"/>
    </row>
    <row r="19" ht="15.75" customHeight="1">
      <c r="A19" s="7"/>
      <c r="B19" s="8" t="s">
        <v>101</v>
      </c>
      <c r="C19" s="8" t="s">
        <v>152</v>
      </c>
      <c r="D19" s="8" t="s">
        <v>37</v>
      </c>
      <c r="E19" s="7"/>
      <c r="F19" s="7"/>
      <c r="G19" s="7"/>
      <c r="H19" s="7"/>
      <c r="I19" s="7"/>
      <c r="J19" s="7"/>
      <c r="K19" s="7"/>
      <c r="L19" s="7"/>
    </row>
    <row r="20" ht="15.75" customHeight="1">
      <c r="A20" s="7"/>
      <c r="B20" s="8" t="s">
        <v>101</v>
      </c>
      <c r="C20" s="8" t="s">
        <v>153</v>
      </c>
      <c r="D20" s="8" t="s">
        <v>33</v>
      </c>
      <c r="E20" s="7"/>
      <c r="F20" s="7"/>
      <c r="G20" s="7"/>
      <c r="H20" s="7"/>
      <c r="I20" s="7"/>
      <c r="J20" s="7"/>
      <c r="K20" s="7"/>
      <c r="L20" s="7"/>
    </row>
    <row r="21" ht="15.75" customHeight="1">
      <c r="A21" s="7"/>
      <c r="B21" s="8" t="s">
        <v>101</v>
      </c>
      <c r="C21" s="8" t="s">
        <v>162</v>
      </c>
      <c r="D21" s="8" t="s">
        <v>33</v>
      </c>
      <c r="E21" s="7"/>
      <c r="F21" s="7"/>
      <c r="G21" s="7"/>
      <c r="H21" s="7"/>
      <c r="I21" s="7"/>
      <c r="J21" s="7"/>
      <c r="K21" s="7"/>
      <c r="L21" s="7"/>
    </row>
    <row r="22" ht="15.75" customHeight="1">
      <c r="A22" s="7"/>
      <c r="B22" s="8" t="s">
        <v>101</v>
      </c>
      <c r="C22" s="8" t="s">
        <v>184</v>
      </c>
      <c r="D22" s="8" t="s">
        <v>33</v>
      </c>
      <c r="E22" s="7"/>
      <c r="F22" s="7"/>
      <c r="G22" s="7"/>
      <c r="H22" s="7"/>
      <c r="I22" s="7"/>
      <c r="J22" s="7"/>
      <c r="K22" s="7"/>
      <c r="L22" s="7"/>
    </row>
    <row r="23" ht="15.75" customHeight="1">
      <c r="A23" s="7"/>
      <c r="B23" s="8" t="s">
        <v>101</v>
      </c>
      <c r="C23" s="8" t="s">
        <v>167</v>
      </c>
      <c r="D23" s="8" t="s">
        <v>37</v>
      </c>
      <c r="E23" s="7"/>
      <c r="F23" s="7"/>
      <c r="G23" s="7"/>
      <c r="H23" s="7"/>
      <c r="I23" s="7"/>
      <c r="J23" s="7"/>
      <c r="K23" s="7"/>
      <c r="L23" s="7"/>
    </row>
    <row r="24" ht="15.75" customHeight="1">
      <c r="A24" s="7"/>
      <c r="B24" s="8" t="s">
        <v>101</v>
      </c>
      <c r="C24" s="8" t="s">
        <v>173</v>
      </c>
      <c r="D24" s="8" t="s">
        <v>37</v>
      </c>
      <c r="E24" s="7"/>
      <c r="F24" s="7"/>
      <c r="G24" s="7"/>
      <c r="H24" s="7"/>
      <c r="I24" s="7"/>
      <c r="J24" s="7"/>
      <c r="K24" s="7"/>
      <c r="L24" s="7"/>
    </row>
    <row r="25" ht="15.75" customHeight="1">
      <c r="A25" s="7"/>
      <c r="B25" s="8" t="s">
        <v>101</v>
      </c>
      <c r="C25" s="8" t="s">
        <v>174</v>
      </c>
      <c r="D25" s="8" t="s">
        <v>33</v>
      </c>
      <c r="E25" s="7"/>
      <c r="F25" s="7"/>
      <c r="G25" s="7"/>
      <c r="H25" s="7"/>
      <c r="I25" s="7"/>
      <c r="J25" s="7"/>
      <c r="K25" s="7"/>
      <c r="L25" s="7"/>
    </row>
    <row r="26" ht="15.75" customHeight="1">
      <c r="A26" s="7"/>
      <c r="B26" s="8" t="s">
        <v>101</v>
      </c>
      <c r="C26" s="8" t="s">
        <v>178</v>
      </c>
      <c r="D26" s="8" t="s">
        <v>33</v>
      </c>
      <c r="E26" s="7"/>
      <c r="F26" s="7"/>
      <c r="G26" s="7"/>
      <c r="H26" s="7"/>
      <c r="I26" s="7"/>
      <c r="J26" s="7"/>
      <c r="K26" s="7"/>
      <c r="L26" s="7"/>
    </row>
    <row r="27" ht="15.75" customHeight="1">
      <c r="A27" s="7"/>
      <c r="B27" s="8" t="s">
        <v>101</v>
      </c>
      <c r="C27" s="8" t="s">
        <v>182</v>
      </c>
      <c r="D27" s="8" t="s">
        <v>33</v>
      </c>
      <c r="E27" s="7"/>
      <c r="F27" s="7"/>
      <c r="G27" s="7"/>
      <c r="H27" s="7"/>
      <c r="I27" s="7"/>
      <c r="J27" s="7"/>
      <c r="K27" s="7"/>
      <c r="L27" s="7"/>
    </row>
    <row r="28" ht="15.75" customHeight="1">
      <c r="A28" s="7"/>
      <c r="B28" s="8" t="s">
        <v>101</v>
      </c>
      <c r="C28" s="8" t="s">
        <v>186</v>
      </c>
      <c r="D28" s="8" t="s">
        <v>33</v>
      </c>
      <c r="E28" s="7"/>
      <c r="F28" s="7"/>
      <c r="G28" s="7"/>
      <c r="H28" s="7"/>
      <c r="I28" s="7"/>
      <c r="J28" s="7"/>
      <c r="K28" s="7"/>
      <c r="L28" s="7"/>
    </row>
    <row r="29" ht="15.75" customHeight="1">
      <c r="A29" s="7"/>
      <c r="B29" s="8" t="s">
        <v>101</v>
      </c>
      <c r="C29" s="8" t="s">
        <v>195</v>
      </c>
      <c r="D29" s="8" t="s">
        <v>37</v>
      </c>
      <c r="E29" s="7"/>
      <c r="F29" s="7"/>
      <c r="G29" s="7"/>
      <c r="H29" s="7"/>
      <c r="I29" s="7"/>
      <c r="J29" s="7"/>
      <c r="K29" s="7"/>
      <c r="L29" s="7"/>
    </row>
    <row r="30" ht="15.75" customHeight="1">
      <c r="A30" s="7"/>
      <c r="B30" s="8" t="s">
        <v>101</v>
      </c>
      <c r="C30" s="8" t="s">
        <v>201</v>
      </c>
      <c r="D30" s="8" t="s">
        <v>37</v>
      </c>
      <c r="E30" s="7"/>
      <c r="F30" s="7"/>
      <c r="G30" s="7"/>
      <c r="H30" s="7"/>
      <c r="I30" s="7"/>
      <c r="J30" s="7"/>
      <c r="K30" s="7"/>
      <c r="L30" s="7"/>
    </row>
    <row r="31" ht="15.75" customHeight="1">
      <c r="A31" s="7"/>
      <c r="B31" s="8" t="s">
        <v>101</v>
      </c>
      <c r="C31" s="8" t="s">
        <v>206</v>
      </c>
      <c r="D31" s="8" t="s">
        <v>37</v>
      </c>
      <c r="E31" s="7"/>
      <c r="F31" s="7"/>
      <c r="G31" s="7"/>
      <c r="H31" s="7"/>
      <c r="I31" s="7"/>
      <c r="J31" s="7"/>
      <c r="K31" s="7"/>
      <c r="L31" s="7"/>
    </row>
    <row r="32" ht="15.75" customHeight="1">
      <c r="A32" s="7"/>
      <c r="B32" s="8" t="s">
        <v>101</v>
      </c>
      <c r="C32" s="8" t="s">
        <v>208</v>
      </c>
      <c r="D32" s="8" t="s">
        <v>33</v>
      </c>
      <c r="E32" s="7"/>
      <c r="F32" s="7"/>
      <c r="G32" s="7"/>
      <c r="H32" s="7"/>
      <c r="I32" s="7"/>
      <c r="J32" s="7"/>
      <c r="K32" s="7"/>
      <c r="L32" s="7"/>
    </row>
    <row r="33" ht="15.75" customHeight="1">
      <c r="A33" s="7"/>
      <c r="B33" s="8" t="s">
        <v>101</v>
      </c>
      <c r="C33" s="8" t="s">
        <v>210</v>
      </c>
      <c r="D33" s="8" t="s">
        <v>33</v>
      </c>
      <c r="E33" s="7"/>
      <c r="F33" s="7"/>
      <c r="G33" s="7"/>
      <c r="H33" s="7"/>
      <c r="I33" s="7"/>
      <c r="J33" s="7"/>
      <c r="K33" s="7"/>
      <c r="L33" s="7"/>
    </row>
    <row r="34" ht="15.75" customHeight="1">
      <c r="A34" s="7"/>
      <c r="B34" s="8"/>
      <c r="C34" s="8" t="s">
        <v>213</v>
      </c>
      <c r="D34" s="8"/>
      <c r="E34" s="7"/>
      <c r="F34" s="7"/>
      <c r="G34" s="7"/>
      <c r="H34" s="7"/>
      <c r="I34" s="7"/>
      <c r="J34" s="7"/>
      <c r="K34" s="7"/>
      <c r="L34" s="7"/>
    </row>
    <row r="35" ht="15.75" customHeight="1">
      <c r="A35" s="7"/>
      <c r="B35" s="8" t="s">
        <v>101</v>
      </c>
      <c r="C35" s="8" t="s">
        <v>215</v>
      </c>
      <c r="D35" s="8" t="s">
        <v>33</v>
      </c>
      <c r="E35" s="7"/>
      <c r="F35" s="7"/>
      <c r="G35" s="7"/>
      <c r="H35" s="7"/>
      <c r="I35" s="7"/>
      <c r="J35" s="7"/>
      <c r="K35" s="7"/>
      <c r="L35" s="7"/>
    </row>
    <row r="36" ht="15.75" customHeight="1">
      <c r="A36" s="7"/>
      <c r="B36" s="8" t="s">
        <v>101</v>
      </c>
      <c r="C36" s="8" t="s">
        <v>217</v>
      </c>
      <c r="D36" s="8" t="s">
        <v>33</v>
      </c>
      <c r="E36" s="7"/>
      <c r="F36" s="7"/>
      <c r="G36" s="7"/>
      <c r="H36" s="7"/>
      <c r="I36" s="7"/>
      <c r="J36" s="7"/>
      <c r="K36" s="7"/>
      <c r="L36" s="7"/>
    </row>
    <row r="37" ht="15.75" customHeight="1">
      <c r="A37" s="7"/>
      <c r="B37" s="8" t="s">
        <v>101</v>
      </c>
      <c r="C37" s="8" t="s">
        <v>219</v>
      </c>
      <c r="D37" s="8" t="s">
        <v>37</v>
      </c>
      <c r="E37" s="7"/>
      <c r="F37" s="7"/>
      <c r="G37" s="7"/>
      <c r="H37" s="7"/>
      <c r="I37" s="7"/>
      <c r="J37" s="7"/>
      <c r="K37" s="7"/>
      <c r="L37" s="7"/>
    </row>
    <row r="38" ht="15.75" customHeight="1">
      <c r="A38" s="7"/>
      <c r="B38" s="8" t="s">
        <v>101</v>
      </c>
      <c r="C38" s="8" t="s">
        <v>221</v>
      </c>
      <c r="D38" s="8" t="s">
        <v>37</v>
      </c>
      <c r="E38" s="7"/>
      <c r="F38" s="7"/>
      <c r="G38" s="7"/>
      <c r="H38" s="7"/>
      <c r="I38" s="7"/>
      <c r="J38" s="7"/>
      <c r="K38" s="7"/>
      <c r="L38" s="7"/>
    </row>
    <row r="39" ht="15.75" customHeight="1">
      <c r="A39" s="7"/>
      <c r="B39" s="8" t="s">
        <v>101</v>
      </c>
      <c r="C39" s="8" t="s">
        <v>136</v>
      </c>
      <c r="D39" s="8" t="s">
        <v>33</v>
      </c>
      <c r="E39" s="7"/>
      <c r="F39" s="7"/>
      <c r="G39" s="7"/>
      <c r="H39" s="7"/>
      <c r="I39" s="7"/>
      <c r="J39" s="7"/>
      <c r="K39" s="7"/>
      <c r="L39" s="7"/>
    </row>
    <row r="40" ht="15.75" customHeight="1">
      <c r="A40" s="7"/>
      <c r="B40" s="8" t="s">
        <v>101</v>
      </c>
      <c r="C40" s="8" t="s">
        <v>224</v>
      </c>
      <c r="D40" s="8" t="s">
        <v>33</v>
      </c>
      <c r="E40" s="7"/>
      <c r="F40" s="7"/>
      <c r="G40" s="7"/>
      <c r="H40" s="7"/>
      <c r="I40" s="7"/>
      <c r="J40" s="7"/>
      <c r="K40" s="7"/>
      <c r="L40" s="7"/>
    </row>
    <row r="41" ht="15.75" customHeight="1">
      <c r="A41" s="7"/>
      <c r="B41" s="8" t="s">
        <v>101</v>
      </c>
      <c r="C41" s="8" t="s">
        <v>225</v>
      </c>
      <c r="D41" s="8" t="s">
        <v>33</v>
      </c>
      <c r="E41" s="7"/>
      <c r="F41" s="7"/>
      <c r="G41" s="7"/>
      <c r="H41" s="7"/>
      <c r="I41" s="7"/>
      <c r="J41" s="7"/>
      <c r="K41" s="7"/>
      <c r="L41" s="7"/>
    </row>
    <row r="42" ht="15.75" customHeight="1">
      <c r="A42" s="7"/>
      <c r="B42" s="8" t="s">
        <v>28</v>
      </c>
      <c r="C42" s="8" t="s">
        <v>227</v>
      </c>
      <c r="D42" s="8" t="s">
        <v>33</v>
      </c>
      <c r="E42" s="7"/>
      <c r="F42" s="7"/>
      <c r="G42" s="7"/>
      <c r="H42" s="7"/>
      <c r="I42" s="7"/>
      <c r="J42" s="7"/>
      <c r="K42" s="7"/>
      <c r="L42" s="7"/>
    </row>
    <row r="43" ht="15.75" customHeight="1">
      <c r="A43" s="7"/>
      <c r="B43" s="8" t="s">
        <v>28</v>
      </c>
      <c r="C43" s="8" t="s">
        <v>229</v>
      </c>
      <c r="D43" s="8" t="s">
        <v>33</v>
      </c>
      <c r="E43" s="7"/>
      <c r="F43" s="7"/>
      <c r="G43" s="7"/>
      <c r="H43" s="7"/>
      <c r="I43" s="7"/>
      <c r="J43" s="7"/>
      <c r="K43" s="7"/>
      <c r="L43" s="7"/>
    </row>
    <row r="44" ht="15.75" customHeight="1">
      <c r="A44" s="7"/>
      <c r="B44" s="7" t="s">
        <v>13</v>
      </c>
      <c r="C44" s="9" t="s">
        <v>230</v>
      </c>
      <c r="D44" s="8" t="s">
        <v>33</v>
      </c>
      <c r="E44" s="7"/>
      <c r="F44" s="7"/>
      <c r="G44" s="7"/>
      <c r="H44" s="7"/>
      <c r="I44" s="7"/>
      <c r="J44" s="7"/>
      <c r="K44" s="7"/>
      <c r="L44" s="7"/>
    </row>
    <row r="45" ht="15.75" customHeight="1">
      <c r="A45" s="7"/>
      <c r="B45" s="7" t="s">
        <v>13</v>
      </c>
      <c r="C45" s="9" t="s">
        <v>233</v>
      </c>
      <c r="D45" s="8" t="s">
        <v>33</v>
      </c>
      <c r="E45" s="7"/>
      <c r="F45" s="7"/>
      <c r="G45" s="7"/>
      <c r="H45" s="7"/>
      <c r="I45" s="7"/>
      <c r="J45" s="7"/>
      <c r="K45" s="7"/>
      <c r="L45" s="7"/>
    </row>
    <row r="46" ht="15.75" customHeight="1">
      <c r="A46" s="7"/>
      <c r="B46" s="7" t="s">
        <v>13</v>
      </c>
      <c r="C46" s="9" t="s">
        <v>235</v>
      </c>
      <c r="D46" s="8" t="s">
        <v>33</v>
      </c>
      <c r="E46" s="7"/>
      <c r="F46" s="7"/>
      <c r="G46" s="7"/>
      <c r="H46" s="7"/>
      <c r="I46" s="7"/>
      <c r="J46" s="7"/>
      <c r="K46" s="7"/>
      <c r="L46" s="7"/>
    </row>
    <row r="47" ht="15.75" customHeight="1">
      <c r="A47" s="7"/>
      <c r="B47" s="8" t="s">
        <v>101</v>
      </c>
      <c r="C47" s="9" t="s">
        <v>238</v>
      </c>
      <c r="D47" s="8" t="s">
        <v>33</v>
      </c>
      <c r="E47" s="7"/>
      <c r="F47" s="7"/>
      <c r="G47" s="7"/>
      <c r="H47" s="7"/>
      <c r="I47" s="7"/>
      <c r="J47" s="7"/>
      <c r="K47" s="7"/>
      <c r="L47" s="7"/>
    </row>
    <row r="48" ht="15.75" customHeight="1">
      <c r="A48" s="7"/>
      <c r="B48" s="7" t="s">
        <v>13</v>
      </c>
      <c r="C48" s="9" t="s">
        <v>239</v>
      </c>
      <c r="D48" s="8" t="s">
        <v>33</v>
      </c>
      <c r="E48" s="7"/>
      <c r="F48" s="7"/>
      <c r="G48" s="7"/>
      <c r="H48" s="7"/>
      <c r="I48" s="7"/>
      <c r="J48" s="7"/>
      <c r="K48" s="7"/>
      <c r="L48" s="7"/>
    </row>
    <row r="49" ht="15.75" customHeight="1">
      <c r="A49" s="7"/>
      <c r="B49" s="7" t="s">
        <v>13</v>
      </c>
      <c r="C49" s="9" t="s">
        <v>241</v>
      </c>
      <c r="D49" s="8" t="s">
        <v>33</v>
      </c>
      <c r="E49" s="7"/>
      <c r="F49" s="7"/>
      <c r="G49" s="7"/>
      <c r="H49" s="7"/>
      <c r="I49" s="7"/>
      <c r="J49" s="7"/>
      <c r="K49" s="7"/>
      <c r="L49" s="7"/>
    </row>
    <row r="50" ht="15.75" customHeight="1">
      <c r="A50" s="7"/>
      <c r="B50" s="7" t="s">
        <v>13</v>
      </c>
      <c r="C50" s="9" t="s">
        <v>242</v>
      </c>
      <c r="D50" s="8" t="s">
        <v>33</v>
      </c>
      <c r="E50" s="7"/>
      <c r="F50" s="7"/>
      <c r="G50" s="7"/>
      <c r="H50" s="7"/>
      <c r="I50" s="7"/>
      <c r="J50" s="7"/>
      <c r="K50" s="7"/>
      <c r="L50" s="7"/>
    </row>
    <row r="51" ht="15.75" customHeight="1">
      <c r="A51" s="7"/>
      <c r="B51" s="7"/>
      <c r="C51" s="7"/>
      <c r="D51" s="8" t="s">
        <v>33</v>
      </c>
      <c r="E51" s="7"/>
      <c r="F51" s="7"/>
      <c r="G51" s="7"/>
      <c r="H51" s="7"/>
      <c r="I51" s="7"/>
      <c r="J51" s="7"/>
      <c r="K51" s="7"/>
      <c r="L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</row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I$984"/>
  <printOptions/>
  <pageMargins bottom="1.0" footer="0.0" header="0.0" left="0.75" right="0.75" top="1.0"/>
  <pageSetup orientation="landscape"/>
  <drawing r:id="rId1"/>
</worksheet>
</file>